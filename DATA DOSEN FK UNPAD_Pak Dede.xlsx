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UK\"/>
    </mc:Choice>
  </mc:AlternateContent>
  <bookViews>
    <workbookView xWindow="0" yWindow="0" windowWidth="19200" windowHeight="6636" tabRatio="737"/>
  </bookViews>
  <sheets>
    <sheet name="2026" sheetId="45" r:id="rId1"/>
    <sheet name="PANGKAT" sheetId="24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'2026'!$A$5:$O$450</definedName>
    <definedName name="_KAT1">[1]GRADE!$F$5:$H$7</definedName>
    <definedName name="_KAT2">[1]GRADE!$F$13:$H$15</definedName>
    <definedName name="_TIA1">[1]TIA1!$A$9:$BQ$208</definedName>
    <definedName name="COURSE">'[2]TABEL COURSE'!$C$4:$C$51</definedName>
    <definedName name="_xlnm.Database">[3]TBDOS!#REF!</definedName>
    <definedName name="DIS">[1]GRADE!$G$8:$H$9</definedName>
    <definedName name="EXAM">'[2]TABEL COURSE'!$F$4:$F$10</definedName>
    <definedName name="G">[4]GRADE!$G$4:$J$10</definedName>
    <definedName name="GD">[1]GRADE!$B$5:$D$13</definedName>
    <definedName name="K">'[2]TABEL KATEGORI'!$B$10:$DW$17</definedName>
    <definedName name="nilai">[5]GRADE!$G$4:$J$10</definedName>
    <definedName name="NQW">[1]QW!$A$8:$A$40</definedName>
    <definedName name="P">[6]KONVERSI!$B$5:$C$16</definedName>
    <definedName name="Prin_Titles">#REF!</definedName>
    <definedName name="Print_Footer">#REF!</definedName>
    <definedName name="Print_Titles\">#REF!</definedName>
    <definedName name="PROG">'[2]TABEL COURSE'!$I$4:$I$9</definedName>
    <definedName name="QW">[1]QW!$A$8:$GV$40</definedName>
    <definedName name="S">[1]DEPT!$I$3:$AD$27</definedName>
    <definedName name="Semester">[7]NILAI!$D$1:$E$5</definedName>
    <definedName name="TA">'[2]TABEL COURSE'!$F$16:$F$23</definedName>
    <definedName name="TI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45" l="1"/>
  <c r="K57" i="45" l="1"/>
  <c r="K132" i="45"/>
  <c r="K198" i="45"/>
  <c r="K138" i="45"/>
  <c r="K353" i="45"/>
  <c r="K290" i="45"/>
  <c r="K26" i="45"/>
  <c r="K446" i="45"/>
  <c r="K16" i="45"/>
  <c r="K263" i="45"/>
  <c r="K397" i="45"/>
  <c r="K31" i="45"/>
  <c r="K107" i="45"/>
  <c r="K148" i="45"/>
  <c r="K168" i="45"/>
  <c r="K213" i="45"/>
  <c r="K308" i="45"/>
  <c r="K93" i="45"/>
  <c r="K400" i="45"/>
  <c r="K69" i="45"/>
  <c r="K178" i="45"/>
  <c r="K10" i="45"/>
  <c r="K119" i="45"/>
  <c r="K188" i="45"/>
  <c r="K273" i="45"/>
  <c r="K365" i="45"/>
  <c r="K420" i="45"/>
  <c r="K424" i="45"/>
  <c r="K24" i="45"/>
  <c r="K65" i="45"/>
  <c r="K267" i="45"/>
  <c r="K280" i="45"/>
  <c r="K341" i="45"/>
  <c r="K362" i="45"/>
  <c r="K376" i="45"/>
  <c r="K8" i="45"/>
  <c r="K113" i="45"/>
  <c r="K124" i="45"/>
  <c r="K202" i="45"/>
  <c r="K422" i="45"/>
  <c r="K379" i="45"/>
  <c r="K372" i="45"/>
  <c r="K370" i="45"/>
  <c r="K367" i="45"/>
  <c r="K310" i="45"/>
  <c r="K304" i="45"/>
  <c r="K250" i="45"/>
  <c r="K236" i="45"/>
  <c r="K230" i="45"/>
  <c r="K194" i="45"/>
  <c r="K115" i="45"/>
  <c r="K54" i="45"/>
  <c r="K48" i="45"/>
  <c r="K42" i="45"/>
  <c r="K34" i="45"/>
  <c r="K20" i="45"/>
  <c r="K12" i="45"/>
  <c r="K407" i="45"/>
  <c r="K384" i="45"/>
  <c r="K357" i="45"/>
  <c r="K190" i="45"/>
  <c r="K176" i="45"/>
  <c r="K143" i="45"/>
  <c r="K123" i="45"/>
  <c r="K77" i="45"/>
  <c r="K22" i="45"/>
  <c r="K6" i="45"/>
  <c r="K410" i="45"/>
  <c r="K371" i="45"/>
  <c r="K366" i="45"/>
  <c r="K117" i="45"/>
  <c r="K79" i="45"/>
  <c r="K448" i="45"/>
  <c r="K442" i="45"/>
  <c r="K404" i="45"/>
  <c r="K388" i="45"/>
  <c r="K364" i="45"/>
  <c r="K361" i="45"/>
  <c r="K298" i="45"/>
  <c r="K182" i="45"/>
  <c r="K170" i="45"/>
  <c r="K140" i="45"/>
  <c r="K103" i="45"/>
  <c r="K391" i="45"/>
  <c r="K354" i="45"/>
  <c r="K242" i="45"/>
  <c r="K91" i="45"/>
  <c r="K85" i="45"/>
  <c r="K44" i="45"/>
  <c r="K29" i="45"/>
  <c r="K14" i="45"/>
  <c r="K394" i="45"/>
  <c r="K369" i="45"/>
  <c r="K338" i="45"/>
  <c r="K232" i="45"/>
  <c r="K133" i="45"/>
  <c r="K18" i="45"/>
  <c r="K101" i="45"/>
  <c r="K131" i="45"/>
  <c r="K159" i="45"/>
  <c r="K320" i="45"/>
  <c r="K330" i="45"/>
  <c r="K355" i="45"/>
  <c r="K46" i="45"/>
  <c r="K61" i="45"/>
  <c r="K128" i="45"/>
  <c r="K162" i="45"/>
  <c r="K67" i="45"/>
  <c r="K81" i="45"/>
  <c r="K125" i="45"/>
  <c r="K180" i="45"/>
  <c r="K186" i="45"/>
  <c r="K282" i="45"/>
  <c r="K296" i="45"/>
  <c r="K402" i="45"/>
  <c r="K36" i="45"/>
  <c r="K59" i="45"/>
  <c r="K71" i="45"/>
  <c r="K83" i="45"/>
  <c r="K95" i="45"/>
  <c r="K134" i="45"/>
  <c r="K156" i="45"/>
  <c r="K204" i="45"/>
  <c r="K215" i="45"/>
  <c r="K275" i="45"/>
  <c r="K312" i="45"/>
  <c r="K347" i="45"/>
  <c r="K396" i="45"/>
  <c r="K399" i="45"/>
  <c r="K434" i="45"/>
  <c r="K7" i="45"/>
  <c r="K9" i="45"/>
  <c r="K11" i="45"/>
  <c r="K13" i="45"/>
  <c r="K15" i="45"/>
  <c r="K17" i="45"/>
  <c r="K19" i="45"/>
  <c r="K21" i="45"/>
  <c r="K23" i="45"/>
  <c r="K25" i="45"/>
  <c r="K27" i="45"/>
  <c r="K28" i="45"/>
  <c r="K30" i="45"/>
  <c r="K32" i="45"/>
  <c r="K33" i="45"/>
  <c r="K52" i="45"/>
  <c r="K75" i="45"/>
  <c r="K87" i="45"/>
  <c r="K99" i="45"/>
  <c r="K111" i="45"/>
  <c r="K139" i="45"/>
  <c r="K150" i="45"/>
  <c r="K155" i="45"/>
  <c r="K206" i="45"/>
  <c r="K246" i="45"/>
  <c r="K259" i="45"/>
  <c r="K328" i="45"/>
  <c r="K373" i="45"/>
  <c r="K389" i="45"/>
  <c r="K392" i="45"/>
  <c r="K395" i="45"/>
  <c r="K415" i="45"/>
  <c r="K426" i="45"/>
  <c r="K432" i="45"/>
  <c r="K38" i="45"/>
  <c r="K50" i="45"/>
  <c r="K63" i="45"/>
  <c r="K97" i="45"/>
  <c r="K109" i="45"/>
  <c r="K142" i="45"/>
  <c r="K145" i="45"/>
  <c r="K160" i="45"/>
  <c r="K192" i="45"/>
  <c r="K228" i="45"/>
  <c r="K251" i="45"/>
  <c r="K257" i="45"/>
  <c r="K288" i="45"/>
  <c r="K314" i="45"/>
  <c r="K403" i="45"/>
  <c r="K406" i="45"/>
  <c r="K409" i="45"/>
  <c r="K412" i="45"/>
  <c r="K419" i="45"/>
  <c r="K440" i="45"/>
  <c r="K430" i="45"/>
  <c r="K418" i="45"/>
  <c r="K380" i="45"/>
  <c r="K377" i="45"/>
  <c r="K374" i="45"/>
  <c r="K352" i="45"/>
  <c r="K326" i="45"/>
  <c r="K294" i="45"/>
  <c r="K265" i="45"/>
  <c r="K248" i="45"/>
  <c r="K218" i="45"/>
  <c r="K196" i="45"/>
  <c r="K172" i="45"/>
  <c r="K166" i="45"/>
  <c r="K154" i="45"/>
  <c r="K151" i="45"/>
  <c r="K147" i="45"/>
  <c r="K130" i="45"/>
  <c r="K122" i="45"/>
  <c r="K120" i="45"/>
  <c r="K118" i="45"/>
  <c r="K116" i="45"/>
  <c r="K114" i="45"/>
  <c r="K112" i="45"/>
  <c r="K110" i="45"/>
  <c r="K108" i="45"/>
  <c r="K106" i="45"/>
  <c r="K104" i="45"/>
  <c r="K102" i="45"/>
  <c r="K100" i="45"/>
  <c r="K98" i="45"/>
  <c r="K96" i="45"/>
  <c r="K94" i="45"/>
  <c r="K92" i="45"/>
  <c r="K90" i="45"/>
  <c r="K88" i="45"/>
  <c r="K86" i="45"/>
  <c r="K84" i="45"/>
  <c r="K82" i="45"/>
  <c r="K80" i="45"/>
  <c r="K78" i="45"/>
  <c r="K76" i="45"/>
  <c r="K74" i="45"/>
  <c r="K72" i="45"/>
  <c r="K70" i="45"/>
  <c r="K68" i="45"/>
  <c r="K66" i="45"/>
  <c r="K64" i="45"/>
  <c r="K62" i="45"/>
  <c r="K60" i="45"/>
  <c r="K58" i="45"/>
  <c r="K55" i="45"/>
  <c r="K53" i="45"/>
  <c r="K51" i="45"/>
  <c r="K49" i="45"/>
  <c r="K47" i="45"/>
  <c r="K45" i="45"/>
  <c r="K43" i="45"/>
  <c r="K41" i="45"/>
  <c r="K39" i="45"/>
  <c r="K37" i="45"/>
  <c r="K35" i="45"/>
  <c r="K40" i="45"/>
  <c r="K56" i="45"/>
  <c r="K73" i="45"/>
  <c r="K89" i="45"/>
  <c r="K105" i="45"/>
  <c r="K121" i="45"/>
  <c r="K126" i="45"/>
  <c r="K157" i="45"/>
  <c r="K161" i="45"/>
  <c r="K174" i="45"/>
  <c r="K220" i="45"/>
  <c r="K226" i="45"/>
  <c r="K234" i="45"/>
  <c r="K292" i="45"/>
  <c r="K322" i="45"/>
  <c r="K336" i="45"/>
  <c r="K345" i="45"/>
  <c r="K387" i="45"/>
  <c r="K136" i="45"/>
  <c r="K141" i="45"/>
  <c r="K149" i="45"/>
  <c r="K153" i="45"/>
  <c r="K184" i="45"/>
  <c r="K216" i="45"/>
  <c r="K244" i="45"/>
  <c r="K261" i="45"/>
  <c r="K278" i="45"/>
  <c r="K306" i="45"/>
  <c r="K324" i="45"/>
  <c r="K343" i="45"/>
  <c r="K356" i="45"/>
  <c r="K359" i="45"/>
  <c r="K381" i="45"/>
  <c r="K383" i="45"/>
  <c r="K386" i="45"/>
  <c r="K411" i="45"/>
  <c r="K414" i="45"/>
  <c r="K417" i="45"/>
  <c r="K438" i="45"/>
  <c r="K447" i="45"/>
  <c r="K439" i="45"/>
  <c r="K431" i="45"/>
  <c r="K423" i="45"/>
  <c r="K444" i="45"/>
  <c r="K436" i="45"/>
  <c r="K428" i="45"/>
  <c r="K169" i="45"/>
  <c r="K449" i="45"/>
  <c r="K441" i="45"/>
  <c r="K433" i="45"/>
  <c r="K425" i="45"/>
  <c r="K350" i="45"/>
  <c r="K348" i="45"/>
  <c r="K346" i="45"/>
  <c r="K344" i="45"/>
  <c r="K342" i="45"/>
  <c r="K339" i="45"/>
  <c r="K337" i="45"/>
  <c r="K335" i="45"/>
  <c r="K333" i="45"/>
  <c r="K331" i="45"/>
  <c r="K329" i="45"/>
  <c r="K327" i="45"/>
  <c r="K325" i="45"/>
  <c r="K323" i="45"/>
  <c r="K321" i="45"/>
  <c r="K319" i="45"/>
  <c r="K317" i="45"/>
  <c r="K315" i="45"/>
  <c r="K313" i="45"/>
  <c r="K311" i="45"/>
  <c r="K309" i="45"/>
  <c r="K307" i="45"/>
  <c r="K305" i="45"/>
  <c r="K303" i="45"/>
  <c r="K301" i="45"/>
  <c r="K299" i="45"/>
  <c r="K297" i="45"/>
  <c r="K295" i="45"/>
  <c r="K293" i="45"/>
  <c r="K291" i="45"/>
  <c r="K289" i="45"/>
  <c r="K287" i="45"/>
  <c r="K285" i="45"/>
  <c r="K283" i="45"/>
  <c r="K281" i="45"/>
  <c r="K279" i="45"/>
  <c r="K277" i="45"/>
  <c r="K276" i="45"/>
  <c r="K274" i="45"/>
  <c r="K272" i="45"/>
  <c r="K270" i="45"/>
  <c r="K268" i="45"/>
  <c r="K266" i="45"/>
  <c r="K264" i="45"/>
  <c r="K262" i="45"/>
  <c r="K260" i="45"/>
  <c r="K258" i="45"/>
  <c r="K256" i="45"/>
  <c r="K254" i="45"/>
  <c r="K252" i="45"/>
  <c r="K249" i="45"/>
  <c r="K247" i="45"/>
  <c r="K245" i="45"/>
  <c r="K243" i="45"/>
  <c r="K241" i="45"/>
  <c r="K239" i="45"/>
  <c r="K237" i="45"/>
  <c r="K235" i="45"/>
  <c r="K233" i="45"/>
  <c r="K231" i="45"/>
  <c r="K229" i="45"/>
  <c r="K227" i="45"/>
  <c r="K225" i="45"/>
  <c r="K223" i="45"/>
  <c r="K221" i="45"/>
  <c r="K219" i="45"/>
  <c r="K217" i="45"/>
  <c r="K214" i="45"/>
  <c r="K212" i="45"/>
  <c r="K211" i="45"/>
  <c r="K209" i="45"/>
  <c r="K207" i="45"/>
  <c r="K205" i="45"/>
  <c r="K203" i="45"/>
  <c r="K443" i="45"/>
  <c r="K435" i="45"/>
  <c r="K427" i="45"/>
  <c r="K167" i="45"/>
  <c r="K165" i="45"/>
  <c r="K163" i="45"/>
  <c r="K129" i="45"/>
  <c r="K137" i="45"/>
  <c r="K146" i="45"/>
  <c r="K152" i="45"/>
  <c r="K164" i="45"/>
  <c r="K171" i="45"/>
  <c r="K173" i="45"/>
  <c r="K175" i="45"/>
  <c r="K177" i="45"/>
  <c r="K179" i="45"/>
  <c r="K181" i="45"/>
  <c r="K183" i="45"/>
  <c r="K185" i="45"/>
  <c r="K187" i="45"/>
  <c r="K189" i="45"/>
  <c r="K191" i="45"/>
  <c r="K193" i="45"/>
  <c r="K195" i="45"/>
  <c r="K197" i="45"/>
  <c r="K199" i="45"/>
  <c r="K200" i="45"/>
  <c r="K201" i="45"/>
  <c r="K210" i="45"/>
  <c r="K224" i="45"/>
  <c r="K240" i="45"/>
  <c r="K255" i="45"/>
  <c r="K271" i="45"/>
  <c r="K286" i="45"/>
  <c r="K302" i="45"/>
  <c r="K318" i="45"/>
  <c r="K334" i="45"/>
  <c r="K351" i="45"/>
  <c r="K360" i="45"/>
  <c r="K368" i="45"/>
  <c r="K375" i="45"/>
  <c r="K382" i="45"/>
  <c r="K390" i="45"/>
  <c r="K398" i="45"/>
  <c r="K405" i="45"/>
  <c r="K413" i="45"/>
  <c r="K421" i="45"/>
  <c r="K127" i="45"/>
  <c r="K135" i="45"/>
  <c r="K144" i="45"/>
  <c r="K158" i="45"/>
  <c r="K208" i="45"/>
  <c r="K222" i="45"/>
  <c r="K238" i="45"/>
  <c r="K253" i="45"/>
  <c r="K269" i="45"/>
  <c r="K284" i="45"/>
  <c r="K300" i="45"/>
  <c r="K316" i="45"/>
  <c r="K332" i="45"/>
  <c r="K349" i="45"/>
  <c r="K358" i="45"/>
  <c r="K363" i="45"/>
  <c r="K378" i="45"/>
  <c r="K385" i="45"/>
  <c r="K393" i="45"/>
  <c r="K401" i="45"/>
  <c r="K408" i="45"/>
  <c r="K416" i="45"/>
  <c r="K429" i="45"/>
  <c r="K437" i="45"/>
  <c r="K445" i="45"/>
</calcChain>
</file>

<file path=xl/sharedStrings.xml><?xml version="1.0" encoding="utf-8"?>
<sst xmlns="http://schemas.openxmlformats.org/spreadsheetml/2006/main" count="4745" uniqueCount="2663">
  <si>
    <t xml:space="preserve">DATA DOSEN </t>
  </si>
  <si>
    <t>FAKULTAS KEDOKTERAN UNIVERSITAS PADJADJARAN</t>
  </si>
  <si>
    <t>Data:</t>
  </si>
  <si>
    <t>No.</t>
  </si>
  <si>
    <t>NAMA</t>
  </si>
  <si>
    <t>NIP</t>
  </si>
  <si>
    <t>DEPARTEMEN</t>
  </si>
  <si>
    <t>GOL.</t>
  </si>
  <si>
    <t>INSTANSI INDUK</t>
  </si>
  <si>
    <t>JENIS KELAMIN</t>
  </si>
  <si>
    <t>Guru Besar</t>
  </si>
  <si>
    <t>Ilmu Kesehatan THT-KL</t>
  </si>
  <si>
    <t>IV/e</t>
  </si>
  <si>
    <t>Perempuan</t>
  </si>
  <si>
    <t>Ilmu Kesehatan Kulit dan Kelamin</t>
  </si>
  <si>
    <t>Laki-Laki</t>
  </si>
  <si>
    <t>Ilmu Kedokteran Dasar</t>
  </si>
  <si>
    <t>Prof. Cissy B. Kartasasmita, dr., M.Sc., Sp.AK., Ph.D.</t>
  </si>
  <si>
    <t>194707302019054001</t>
  </si>
  <si>
    <t>Ilmu Kesehatan Anak</t>
  </si>
  <si>
    <t>Obstetri dan Ginekologi</t>
  </si>
  <si>
    <t>IV/d</t>
  </si>
  <si>
    <t>Ilmu Penyakit Dalam</t>
  </si>
  <si>
    <t>-</t>
  </si>
  <si>
    <t>Ilmu Kesehatan Masyarakat</t>
  </si>
  <si>
    <t>Aktif</t>
  </si>
  <si>
    <t>Lektor Kepala</t>
  </si>
  <si>
    <t>IV/b</t>
  </si>
  <si>
    <t>Kardiologi dan Kedokteran Vaskular</t>
  </si>
  <si>
    <t>Kemenkes</t>
  </si>
  <si>
    <t>Lektor</t>
  </si>
  <si>
    <t>Anestesiologi dan Terapi Intensif</t>
  </si>
  <si>
    <t>Patologi Klinik</t>
  </si>
  <si>
    <t>Prof. Dr. Dedi Rachmadi Sjambas, dr., Sp.AK., M.Kes</t>
  </si>
  <si>
    <t>Prof. Bethy Suryawathy Hernowo, dr., Sp.PA(K)., Ph.D</t>
  </si>
  <si>
    <t>Patologi Anatomi</t>
  </si>
  <si>
    <t>Prof. Dr. Heda Melinda Nazaruddin, dr., Sp.AK., M.Kes</t>
  </si>
  <si>
    <t>Ilmu Kesehatan Mata</t>
  </si>
  <si>
    <t>IV/c</t>
  </si>
  <si>
    <t>Asisten Ahli</t>
  </si>
  <si>
    <t>Neurologi</t>
  </si>
  <si>
    <t>III/b</t>
  </si>
  <si>
    <t>III/c</t>
  </si>
  <si>
    <t>III/d</t>
  </si>
  <si>
    <t>Prof. Dr. Dwi Prasetyo, dr., Sp.AK., M.Kes</t>
  </si>
  <si>
    <t>195710021984121001</t>
  </si>
  <si>
    <t>Radiologi</t>
  </si>
  <si>
    <t>Ilmu Kedokteran Fisik dan Rehabilitasi</t>
  </si>
  <si>
    <t>IV/a</t>
  </si>
  <si>
    <t>Orthopaedi dan Traumatologi</t>
  </si>
  <si>
    <t>Prof. Dr. Achmad Hussein S. Kartamihardja, dr., Sp.KN, M.H.Kes</t>
  </si>
  <si>
    <t>195802141985111001</t>
  </si>
  <si>
    <t>Ilmu Kedokteran Nuklir dan Pencitraan Molekuler</t>
  </si>
  <si>
    <t>Ilmu Bedah</t>
  </si>
  <si>
    <t>Ilmu Kedokteran Jiwa</t>
  </si>
  <si>
    <t>Prof. Dr. Dida Akhmad Gurnida, dr., Sp.A(K)., M.Kes</t>
  </si>
  <si>
    <t>195807041987031001</t>
  </si>
  <si>
    <t>Tubel</t>
  </si>
  <si>
    <t>Ilmu Kesehatan Gigi dan Mulut</t>
  </si>
  <si>
    <t>Prof. Dr. Vita Murniati Tarawan, dr., Sp.OG., M.Kes.,AIFO.,SH.</t>
  </si>
  <si>
    <t>195909131989022001</t>
  </si>
  <si>
    <t>196102201989032002</t>
  </si>
  <si>
    <t>Trias Nugrahadi, dr., Sp.KN</t>
  </si>
  <si>
    <t>196107041991031002</t>
  </si>
  <si>
    <t>Dr. Karmelita Satari, dr., Sp.M(K).</t>
  </si>
  <si>
    <t>196107311989012001</t>
  </si>
  <si>
    <t>Dr. Elsa Pudji Setiawati Sasongko, dr., MM</t>
  </si>
  <si>
    <t>196108121989012001</t>
  </si>
  <si>
    <t>Dr. Anam,  dr., SpS(K)</t>
  </si>
  <si>
    <t>196111011989101001</t>
  </si>
  <si>
    <t>Prof. Dr. Budi Setiabudiawan, dr., Sp.AK., M.Kes</t>
  </si>
  <si>
    <t>196111111988021001</t>
  </si>
  <si>
    <t>Dr. Ruswana Anwar, dr., Sp.OG(K)., M.Kes.</t>
  </si>
  <si>
    <t>196112011987101002</t>
  </si>
  <si>
    <t>Arifah Nur Istiqomah, dr., Sp.KJ(K).</t>
  </si>
  <si>
    <t>196112251988032002</t>
  </si>
  <si>
    <t>Dr. Tjahjodjati, dr.,Sp.B., Sp.U(K)</t>
  </si>
  <si>
    <t>196203291987101001</t>
  </si>
  <si>
    <t>Nida Suraya, dr., Sp.PK.</t>
  </si>
  <si>
    <t>196204251990022001</t>
  </si>
  <si>
    <t>196205201989012003</t>
  </si>
  <si>
    <t>Dr. Ria Bandiara, dr., Sp.PD-KGH.</t>
  </si>
  <si>
    <t>196207161988032001</t>
  </si>
  <si>
    <t>Gusriani, drg., Sp.Perio.</t>
  </si>
  <si>
    <t>196208201992032002</t>
  </si>
  <si>
    <t>Prof. Dr. med. Tri Hanggono Achmad, dr</t>
  </si>
  <si>
    <t>196209221989021001</t>
  </si>
  <si>
    <t>Prof. Dr. Yudi Mulyana Hidayat, dr., Sp.OG(K)</t>
  </si>
  <si>
    <t>196209251990031002</t>
  </si>
  <si>
    <t>196210231989011001</t>
  </si>
  <si>
    <t>Ali Budi Harsono, dr., Sp.OG(K).</t>
  </si>
  <si>
    <t>196211181989111001</t>
  </si>
  <si>
    <t>Nina Susana Dewi, dr., Sp.PK(K), M.Kes.</t>
  </si>
  <si>
    <t>196212031988032001</t>
  </si>
  <si>
    <t>196212141988032002</t>
  </si>
  <si>
    <t>Dr. Budiman, dr., Sp.M(K)., M.Kes.</t>
  </si>
  <si>
    <t>196212161990021002</t>
  </si>
  <si>
    <t>Prof. Dr. Dany Hilmanto, dr., Sp.AK</t>
  </si>
  <si>
    <t>196302201987111001</t>
  </si>
  <si>
    <t>Dr. Feti Karfiati, dr., Sp.M(K)., M.Kes.</t>
  </si>
  <si>
    <t>196302211988032002</t>
  </si>
  <si>
    <t>196304111988031002</t>
  </si>
  <si>
    <t>Dr. Reti Hindritiani, dr., Sp.KK(K).</t>
  </si>
  <si>
    <t>196304161989032002</t>
  </si>
  <si>
    <t>Prof. Dr. Meita Dhamayanti, dr., Sp.AK., M.Kes</t>
  </si>
  <si>
    <t>Tiene Rostini, dr., Sp.PK(K).</t>
  </si>
  <si>
    <t>196305211989112001</t>
  </si>
  <si>
    <t>196305221990011001</t>
  </si>
  <si>
    <t>Dr. Veranita Pandia, dr., Sp.KJ(K)., M.Kes.</t>
  </si>
  <si>
    <t>196307011989112001</t>
  </si>
  <si>
    <t>196308161990021001</t>
  </si>
  <si>
    <t>Prof. Dr. Oki Suwarsa, dr., Sp.KK(K)., M.Kes</t>
  </si>
  <si>
    <t>196310191990121001</t>
  </si>
  <si>
    <t>Susanti Natalya Sirait ,dr., Sp.M(K)., M.Kes.</t>
  </si>
  <si>
    <t>196310211990032002</t>
  </si>
  <si>
    <t>Yana Akhmad Supriatna, dr., Sp.PD-KP., MMRS</t>
  </si>
  <si>
    <t>196310281989031003</t>
  </si>
  <si>
    <t>196312061990101001</t>
  </si>
  <si>
    <t>Dr. Hadi Susiarno, dr., Sp.OG(K)., M.Kes., MH.Kes.</t>
  </si>
  <si>
    <t>196401162009121001</t>
  </si>
  <si>
    <t>III/a</t>
  </si>
  <si>
    <t>Sharon Gondodiputro, dr., MARS., M.H</t>
  </si>
  <si>
    <t>196402141988022001</t>
  </si>
  <si>
    <t>196404021989021001</t>
  </si>
  <si>
    <t>Dikki Drajat Kusmayadi, dr., Sp.B(K).BA</t>
  </si>
  <si>
    <t>196407201990021001</t>
  </si>
  <si>
    <t>Dr. Ferry Safriadi, dr., Sp.U(K)</t>
  </si>
  <si>
    <t>196411161990021001</t>
  </si>
  <si>
    <t>196502171990032002</t>
  </si>
  <si>
    <t>Erwin Iskandar, dr., Sp.M(K)., M.Kes.</t>
  </si>
  <si>
    <t>196504181994021001</t>
  </si>
  <si>
    <t>Doddy Tavianto, dr., Sp.An.KAKV</t>
  </si>
  <si>
    <t>196505031991031004</t>
  </si>
  <si>
    <t>196505191995071001</t>
  </si>
  <si>
    <t>196505211990032001</t>
  </si>
  <si>
    <t>196507101991021001</t>
  </si>
  <si>
    <t>196507231991032002</t>
  </si>
  <si>
    <t>Prof. Dr. Budi Handono, dr., Sp.OG(K), MH.Kes.</t>
  </si>
  <si>
    <t>196508071991011001</t>
  </si>
  <si>
    <t>Dr. Dewi Kartika Turbawaty, dr., Sp.PK, M.Kes.</t>
  </si>
  <si>
    <t>196508221996022001</t>
  </si>
  <si>
    <t>196512022005011001</t>
  </si>
  <si>
    <t>Dr. Akhmad Imron, dr., Sp.BS(K)., M.Kes.</t>
  </si>
  <si>
    <t>Ilmu Bedah Saraf</t>
  </si>
  <si>
    <t>Dr. Melati Sudiro, dr., Sp.THT-KL(K)., M.Kes.</t>
  </si>
  <si>
    <t>196602132006042001</t>
  </si>
  <si>
    <t>196605111999032001</t>
  </si>
  <si>
    <t>Ahmad Rizal,  dr., Sp.S(K)., Ph.D.</t>
  </si>
  <si>
    <t>196605262003121001</t>
  </si>
  <si>
    <t>Rudi Wisaksana, dr., Sp.PD-KPTI., Ph.D.</t>
  </si>
  <si>
    <t>196607011995071001</t>
  </si>
  <si>
    <t>Tertianto Prabowo, dr.,SpKFR</t>
  </si>
  <si>
    <t>196607142005011001</t>
  </si>
  <si>
    <t>M. Rizkar Arev Sukarsa, dr., Sp.OG(K).</t>
  </si>
  <si>
    <t>196607161997031002</t>
  </si>
  <si>
    <t>Irra Rubianti Widarda, dr.,Sp.B.,Sp.BPRE(K)</t>
  </si>
  <si>
    <t>196607241995072001</t>
  </si>
  <si>
    <t>196607241995091002</t>
  </si>
  <si>
    <t>Dr. Yulia Sofiatin, dr., Sp.PD</t>
  </si>
  <si>
    <t>196608062016044001</t>
  </si>
  <si>
    <t>Sobaryati, dr., Sp.S, KIC., M.Kes.</t>
  </si>
  <si>
    <t>196608112005012001</t>
  </si>
  <si>
    <t>Maman Abdurahman, dr.,Sp.B(K)-Onk</t>
  </si>
  <si>
    <t>196609021996011001</t>
  </si>
  <si>
    <t>Prof. Rovina, dr., Sp.PD., Ph.D</t>
  </si>
  <si>
    <t>196610061997022002</t>
  </si>
  <si>
    <t>196610071995071001</t>
  </si>
  <si>
    <t>Syarief Hidayat, dr., SpPD. SpJP.</t>
  </si>
  <si>
    <t>196610131995031004</t>
  </si>
  <si>
    <t>Aih Cahyani,  dr., Sp.S(K)</t>
  </si>
  <si>
    <t>196610181991032001</t>
  </si>
  <si>
    <t>Dr. Lina Lasminingrum, dr.Sp.THT-KL(K)., M.Kes.</t>
  </si>
  <si>
    <t>196610231991022001</t>
  </si>
  <si>
    <t>Dr. Delita Prihatni, dr., Sp.PK, M.Kes.</t>
  </si>
  <si>
    <t>196611151990032001</t>
  </si>
  <si>
    <t>196611261997032001</t>
  </si>
  <si>
    <t>Dr. Lisa Y. Hasibuan, dr.,Sp.BP-RE[K]</t>
  </si>
  <si>
    <t>196704091996032001</t>
  </si>
  <si>
    <t>Nushrotul Lailiyya,  dr., Sp.S(K)</t>
  </si>
  <si>
    <t>196704271998072001</t>
  </si>
  <si>
    <t>Lucky Saputra, dr., Sp.KJ(K)., M.Kes.</t>
  </si>
  <si>
    <t>196705142008011009</t>
  </si>
  <si>
    <t>Maya Sari Wahyu Kuntorini, dr., Sp.M(K)., M.Kes.</t>
  </si>
  <si>
    <t>196705252005012001</t>
  </si>
  <si>
    <t>196705311999072001</t>
  </si>
  <si>
    <t>196706172006042001</t>
  </si>
  <si>
    <t>Dr. Birgitta M. Dewayani, dr., Sp.PA(K), M.Kes.</t>
  </si>
  <si>
    <t>196707052003122001</t>
  </si>
  <si>
    <t>Dr. Elsa Gustianty, dr., Sp.M(K)., M.Kes.</t>
  </si>
  <si>
    <t>196708252005012001</t>
  </si>
  <si>
    <t>Dr. Afiatin, dr., Sp.PD-KGH.</t>
  </si>
  <si>
    <t>196711132008012007</t>
  </si>
  <si>
    <t>196801092005012002</t>
  </si>
  <si>
    <t>196802181999032001</t>
  </si>
  <si>
    <t>A. Fauzi Yahya, dr., SpJP(K).</t>
  </si>
  <si>
    <t>196803281999071001</t>
  </si>
  <si>
    <t>Yovita Hartantri, dr., Sp.PD-KPTI.</t>
  </si>
  <si>
    <t>196807261997032003</t>
  </si>
  <si>
    <t>Leni Lismayanti, dr., Sp.PK.</t>
  </si>
  <si>
    <t>196808052006042006</t>
  </si>
  <si>
    <t>Dr. Chaerul Achmad, dr., Sp.JP(K)</t>
  </si>
  <si>
    <t>196808162008011018</t>
  </si>
  <si>
    <t>Diah Asri Wulandari, dr., Sp.A(K)</t>
  </si>
  <si>
    <t>196810092005012001</t>
  </si>
  <si>
    <t>196810101999031002</t>
  </si>
  <si>
    <t>196812011999031001</t>
  </si>
  <si>
    <t>196812241997021002</t>
  </si>
  <si>
    <t>196901071996011001</t>
  </si>
  <si>
    <t>Dr. Raden Tina Dewi Judistiani, dr., Sp.OG</t>
  </si>
  <si>
    <t>196901261997022001</t>
  </si>
  <si>
    <t>Santi Andayani, dr., Sp.KJ(K).</t>
  </si>
  <si>
    <t>196902121998032003</t>
  </si>
  <si>
    <t>Dr. Erwin Pradian, dr., Sp.An-KIC,KAR,M.Kes.</t>
  </si>
  <si>
    <t>196902202005011001</t>
  </si>
  <si>
    <t>Dolvy Girawan, dr., Sp.PD-KGEH., M.Kes.</t>
  </si>
  <si>
    <t>196902222003121002</t>
  </si>
  <si>
    <t>Dr. Basuki Hidayat, dr., Sp.KN</t>
  </si>
  <si>
    <t>196903131997021001</t>
  </si>
  <si>
    <t>Dr. Laniyati Hamijoyo, dr., Sp.PD-KR., M.Kes.</t>
  </si>
  <si>
    <t>196903162009122001</t>
  </si>
  <si>
    <t>Dr. Fiva Aprilia Kadi, dr.,SpA(K), M.Kes</t>
  </si>
  <si>
    <t>196904242000032010</t>
  </si>
  <si>
    <t>Dr. Imam Megantara, dr., M.Kes., Sp.MK., SpTHT-KL</t>
  </si>
  <si>
    <t>196905181996011001</t>
  </si>
  <si>
    <t>Eppy Darmadi Achmad, dr., Sp.OG(K), M.Kes.</t>
  </si>
  <si>
    <t>196905302008011007</t>
  </si>
  <si>
    <t>Gustiara Munir, dr., Sp.Rad., M.Kes., MMRS</t>
  </si>
  <si>
    <t>196908312002122001</t>
  </si>
  <si>
    <t>196909152006041001</t>
  </si>
  <si>
    <t>Dr. Sinta Sari Ratunanda, dr., Sp.THT-KL(K)., M.Kes.</t>
  </si>
  <si>
    <t>196909162005012001</t>
  </si>
  <si>
    <t>196910081998032002</t>
  </si>
  <si>
    <t>Ezra Oktaliansah, dr., Sp.An-KIC, KAP, M.Kes.</t>
  </si>
  <si>
    <t>196910242003121001</t>
  </si>
  <si>
    <t>Nur Suryawan, dr.,SpA(K), M.Kes</t>
  </si>
  <si>
    <t>196911171999031002</t>
  </si>
  <si>
    <t>197001101999031001</t>
  </si>
  <si>
    <t>197003021999031001</t>
  </si>
  <si>
    <t>197004251996011001</t>
  </si>
  <si>
    <t>197006031997032010</t>
  </si>
  <si>
    <t>Ilmu Kedokteran Forensik dan Medikolegal</t>
  </si>
  <si>
    <t>Dr. Sumartini Dewi, dr., Sp.PD-KR., M.Kes.</t>
  </si>
  <si>
    <t>197007082008012028</t>
  </si>
  <si>
    <t>Ricky Adriansjah, dr., Sp.U(K)</t>
  </si>
  <si>
    <t>197007222008011015</t>
  </si>
  <si>
    <t>Prof. Arief Sjamsulaksan Kartasasmita, dr., Sp.M(K)., M.Kes., MM, Ph.D</t>
  </si>
  <si>
    <t>197007272000031007</t>
  </si>
  <si>
    <t>Dr. Prayudi Santoso, dr., Sp.PD-KP., M.Kes.</t>
  </si>
  <si>
    <t>197010132005011001</t>
  </si>
  <si>
    <t>Stanza Uga Peryoga, dr.,SpA(K), M.Kes</t>
  </si>
  <si>
    <t>197012281999031002</t>
  </si>
  <si>
    <t>Tuti Kurnianingsih, dr., Sp.KJ.</t>
  </si>
  <si>
    <t>197019282006042001</t>
  </si>
  <si>
    <t>Teddy Arnold Sihite, dr., SpPD.,SpJP</t>
  </si>
  <si>
    <t>197101062008011001</t>
  </si>
  <si>
    <t>Ine Renata Musa, dr., Sp.M(K).</t>
  </si>
  <si>
    <t>197101092009122001</t>
  </si>
  <si>
    <t>197101251997021002</t>
  </si>
  <si>
    <t>Rachmat Zulkarnain G, dr.,Sp.KFR</t>
  </si>
  <si>
    <t>197105132009121002</t>
  </si>
  <si>
    <t>Dr. Safendra Siregar, dr., Sp.U(K)</t>
  </si>
  <si>
    <t>197105142009121001</t>
  </si>
  <si>
    <t>Dr. Raden Reni Ghrahani D. M., dr., M.Kes., Sp.A(K)</t>
  </si>
  <si>
    <t>197105241999032001</t>
  </si>
  <si>
    <t>Dr. Mohammad Rizki Akbar, dr., M.Kes., SpJP(K)</t>
  </si>
  <si>
    <t>197105311998021001</t>
  </si>
  <si>
    <t>Andri Reza Rahmadi, dr., Sp.PD-KR.,M.Kes.</t>
  </si>
  <si>
    <t>197108111999031002</t>
  </si>
  <si>
    <t>197108231999031002</t>
  </si>
  <si>
    <t>Dr. Hartanto Bayuaji, dr., Sp.OG(K).</t>
  </si>
  <si>
    <t>197108262008011006</t>
  </si>
  <si>
    <t>Dr. Anita Rachmawati, dr., Sp.OG(K).</t>
  </si>
  <si>
    <t>197109052005012003</t>
  </si>
  <si>
    <t>197110092002122001</t>
  </si>
  <si>
    <t>Budiana Rismawan, dr., Sp.An., KAKV, M.Kes.</t>
  </si>
  <si>
    <t>197110252009121001</t>
  </si>
  <si>
    <t>Rama Nusjirwan, dr.,Sp.BTKV</t>
  </si>
  <si>
    <t>197110292009121001</t>
  </si>
  <si>
    <t>Novitri, dr.,Sp.KFR</t>
  </si>
  <si>
    <t>197111202008012008</t>
  </si>
  <si>
    <t>Dr. Iwan Fuadi, dr., Sp.An-KNA., M.Kes</t>
  </si>
  <si>
    <t>197112091999031002</t>
  </si>
  <si>
    <t>Dimmy Prasetya, dr., Sp.PD-KHOM.</t>
  </si>
  <si>
    <t>197112182002121008</t>
  </si>
  <si>
    <t>197201032001121003</t>
  </si>
  <si>
    <t>Nina Ratnaningsih, dr., Sp.M(K)., M.Sc.</t>
  </si>
  <si>
    <t>197204012009122001</t>
  </si>
  <si>
    <t>Amillia Siddiq, dr., M.Si., Sp.OG(K)</t>
  </si>
  <si>
    <t>Mas Adi Sunardi, dr., Sp.Onk.Rad.</t>
  </si>
  <si>
    <t>197205032014121005</t>
  </si>
  <si>
    <t>Laki-laki</t>
  </si>
  <si>
    <t>197206092006041001</t>
  </si>
  <si>
    <t>197207042009081001</t>
  </si>
  <si>
    <t>Teguh Marfen Djajakusumah, dr., Sp.B-KV, M.Kes</t>
  </si>
  <si>
    <t>197208302006041001</t>
  </si>
  <si>
    <t>197211052000121001</t>
  </si>
  <si>
    <t>Dini Pusianawati, dr., Sp.OG(K)</t>
  </si>
  <si>
    <t>197301032009122002</t>
  </si>
  <si>
    <t>Ellyana Sungkar, dr.,SpKFR</t>
  </si>
  <si>
    <t>197303152008012023</t>
  </si>
  <si>
    <t>197303262009122001</t>
  </si>
  <si>
    <t>Dr. Enny Rohmawaty, dr., M.Kes</t>
  </si>
  <si>
    <t>197304042001122002</t>
  </si>
  <si>
    <t>Dr. Aaron Tigor Sihombing, dr., Sp.U</t>
  </si>
  <si>
    <t>197305262006041001</t>
  </si>
  <si>
    <t>197306021999032004</t>
  </si>
  <si>
    <t>Dr. Guswan Wiwaha, dr., MM</t>
  </si>
  <si>
    <t>197308221999031004</t>
  </si>
  <si>
    <t>Dr. Kuswandewi Mutyara, dr., M.Sc</t>
  </si>
  <si>
    <t>197310051999032002</t>
  </si>
  <si>
    <t>197310272016044001</t>
  </si>
  <si>
    <t>197401062005012001</t>
  </si>
  <si>
    <t>Dr. Antonia Kartika Indriati, dr., Sp.M(K)., M.Kes.</t>
  </si>
  <si>
    <t>197401282008122001</t>
  </si>
  <si>
    <t>197402041999031004</t>
  </si>
  <si>
    <t>Dr. Gaga Irawan Nugraha, dr., Sp.GK.,M.Gizi</t>
  </si>
  <si>
    <t>197403052000121002</t>
  </si>
  <si>
    <t>Dr. Hanom Husni Syam, dr., Sp.OG(K), M.Kes.</t>
  </si>
  <si>
    <t>197404022009121002</t>
  </si>
  <si>
    <t>197404041999032001</t>
  </si>
  <si>
    <t>Dr. Achmad Adam, dr., M.Sc., Sp.BS</t>
  </si>
  <si>
    <t>197406092018034001</t>
  </si>
  <si>
    <t>Dr. Yenni Zuhairini, dr.,M.Gizi.,Sp.GK</t>
  </si>
  <si>
    <t>197406282002122001</t>
  </si>
  <si>
    <t>197407102008011028</t>
  </si>
  <si>
    <t>Agung Budi Sutiono, dr.,Ph.D., Sp.BS., D.MSC.</t>
  </si>
  <si>
    <t>197407122006041008</t>
  </si>
  <si>
    <t>Nenny Agustanti, dr., Sp.PD-KGEH.</t>
  </si>
  <si>
    <t>197408202014122001</t>
  </si>
  <si>
    <t>197410182006041002</t>
  </si>
  <si>
    <t>Dr. Nanny Natalia Mulyani Soetedjo, dr., SpPD-KEMD.,DCN.,M.Kes.</t>
  </si>
  <si>
    <t>197412142005012003</t>
  </si>
  <si>
    <t>Dr. Raden Yohana, dr., Sp.B-K.Onk</t>
  </si>
  <si>
    <t>197412152006042004</t>
  </si>
  <si>
    <t>Dr. med. Sc. Irma Ruslina Defi, dr., SpKFR(K)</t>
  </si>
  <si>
    <t>197412182014122001</t>
  </si>
  <si>
    <t>Fajar Wasilah, dr, Sp.PK, MMRS</t>
  </si>
  <si>
    <t>Ardi Zulfariansyah, dr., Sp.An-KIC, M.Kes.</t>
  </si>
  <si>
    <t>197501092002121003</t>
  </si>
  <si>
    <t>197501202009122002</t>
  </si>
  <si>
    <t>Dian Tjahyadi, dr., Sp.OG(K)., MMRS.</t>
  </si>
  <si>
    <t>197502042005011009</t>
  </si>
  <si>
    <t>Kuncoro Adi, dr., Sp.U(K)</t>
  </si>
  <si>
    <t>197502202008121001</t>
  </si>
  <si>
    <t>197502272008121003</t>
  </si>
  <si>
    <t>197503282009121001</t>
  </si>
  <si>
    <t>Dr. Hermin Aminah Usman, dr., Sp.PA(K)</t>
  </si>
  <si>
    <t>197503312009122001</t>
  </si>
  <si>
    <t>Dr. Yussy Afriani Dewi, dr., Sp.THT-KL(K)., M.Kes., FICS</t>
  </si>
  <si>
    <t>197504132000122002</t>
  </si>
  <si>
    <t>197504192006042004</t>
  </si>
  <si>
    <t>Siti Salima, dr., Sp.OG(K)</t>
  </si>
  <si>
    <t>197504212011122004</t>
  </si>
  <si>
    <t>Yenti Permata, dr.,M.Kes.</t>
  </si>
  <si>
    <t>197506092001122001</t>
  </si>
  <si>
    <t>Dr. Rizki Diposarosa, dr., Sp.B(K).BA</t>
  </si>
  <si>
    <t>197506282003121004</t>
  </si>
  <si>
    <t>Dian Komala Dewi, dr., Sp.Rad.</t>
  </si>
  <si>
    <t>197507272006042027</t>
  </si>
  <si>
    <t>Dr. Hasrayati Agustina, dr., Sp.PA(K), M.Kes.</t>
  </si>
  <si>
    <t>197508082008122002</t>
  </si>
  <si>
    <t>197509162003121002</t>
  </si>
  <si>
    <t>Arhans Chairul Ismael, dr.,Sp.BA.,M.Kes.</t>
  </si>
  <si>
    <t>197509242006041002</t>
  </si>
  <si>
    <t>Hilman, dr., Sp.Rad.</t>
  </si>
  <si>
    <t>197510022008121001</t>
  </si>
  <si>
    <t>197511162003122001</t>
  </si>
  <si>
    <t>197511172006041001</t>
  </si>
  <si>
    <t>Prof. Ahmad Faried, dr.,Sp.BS., Ph.D</t>
  </si>
  <si>
    <t>197511202008121003</t>
  </si>
  <si>
    <t>197512092014041001</t>
  </si>
  <si>
    <t>Dr. Nita Arisanti, dr., M.Sc.FM</t>
  </si>
  <si>
    <t>197512252005012001</t>
  </si>
  <si>
    <t>Anglita Yantisetiasti, dr., Sp.PA(K)., M.Kes.</t>
  </si>
  <si>
    <t>197601112006042003</t>
  </si>
  <si>
    <t>197602082008121002</t>
  </si>
  <si>
    <t>Dr. Indra Wijaya, dr., Sp.PD-KHOM.</t>
  </si>
  <si>
    <t>197602142009121002</t>
  </si>
  <si>
    <t>Iceu Dimas Kulsum, dr., SpPD-KP., Sp.P</t>
  </si>
  <si>
    <t>197602262002122001</t>
  </si>
  <si>
    <t>Charlotte Johanna Cool, dr., Sp.JP</t>
  </si>
  <si>
    <t>197603072016044001</t>
  </si>
  <si>
    <t>Eppy Buchori, dr., Sp.Rad(K)</t>
  </si>
  <si>
    <t>197604032010121001</t>
  </si>
  <si>
    <t>Rien Afrianti, dr., Sp.JP, Sp.PD.</t>
  </si>
  <si>
    <t>197604272014061014</t>
  </si>
  <si>
    <t>Dini Hidayat, dr., Sp.OG(K), M.Kes.</t>
  </si>
  <si>
    <t>197605152009122002</t>
  </si>
  <si>
    <t>197605212009122001</t>
  </si>
  <si>
    <t>Mayang Rini, dr., Sp.M(K)., M.Sc.</t>
  </si>
  <si>
    <t>197606072009122002</t>
  </si>
  <si>
    <t>197606262001122002</t>
  </si>
  <si>
    <t>197607142008121001</t>
  </si>
  <si>
    <t>197608072002122002</t>
  </si>
  <si>
    <t>Marietta Shanti Prananta, dr.,SpKFR</t>
  </si>
  <si>
    <t>197609052000032001</t>
  </si>
  <si>
    <t>Yudith Setiati Ermaya, dr.,SpA, M.Kes</t>
  </si>
  <si>
    <t>197609062008122001</t>
  </si>
  <si>
    <t>197609152009121001</t>
  </si>
  <si>
    <t>Leni Santiana, dr., Sp.Rad</t>
  </si>
  <si>
    <t>197610192010122001</t>
  </si>
  <si>
    <t>Sari Puspa Dewi, dr., MHPE, Ph.D</t>
  </si>
  <si>
    <t>197612222009122002</t>
  </si>
  <si>
    <t>197702242016043001</t>
  </si>
  <si>
    <t>Dr. Shinta Fitri Boesoirie, dr., Sp.THT-KL., M.Kes</t>
  </si>
  <si>
    <t>197703162003122002</t>
  </si>
  <si>
    <t>Dr. Shanti Fitrianti Boesoirie, dr., Sp.M., M.Kes</t>
  </si>
  <si>
    <t>197703162003122003</t>
  </si>
  <si>
    <t>Fina Meilyana Andriyani, dr, Sp.A, M.Kes.</t>
  </si>
  <si>
    <t>197705072005012008</t>
  </si>
  <si>
    <t>Dr. Harry Galuh Nugraha, dr.,Sp.Rad-K</t>
  </si>
  <si>
    <t>Yunia Sribudiani, M.Sc., Ph.D</t>
  </si>
  <si>
    <t>197706282015042001</t>
  </si>
  <si>
    <t>197707222005011002</t>
  </si>
  <si>
    <t>Dr. Irawati Irfani, dr., Sp.M(K)., M.Kes</t>
  </si>
  <si>
    <t>197709232008122001</t>
  </si>
  <si>
    <t>197710232008122002</t>
  </si>
  <si>
    <t>Mulya Nusa Amarullah Ritonga, dr., Sp.OG(K)., M.Kes.</t>
  </si>
  <si>
    <t>197710242009121002</t>
  </si>
  <si>
    <t>Andrew Maximilian H.Knoch, dr., Sp.M(K)., M.Kes.</t>
  </si>
  <si>
    <t>197710262009121001</t>
  </si>
  <si>
    <t>Nita Novita, dr.,Sp.PA</t>
  </si>
  <si>
    <t>197711182009122003</t>
  </si>
  <si>
    <t>Hendarsyah Suryadinata, dr., Sp.PD.</t>
  </si>
  <si>
    <t>197711242012121001</t>
  </si>
  <si>
    <t>Dr. Mohammad Ghozali, dr., M.Sc.</t>
  </si>
  <si>
    <t>197711302002121002</t>
  </si>
  <si>
    <t>197712142010122001</t>
  </si>
  <si>
    <t>Dr. Sri Yusnita Irda Sari, dr.,M.Sc.</t>
  </si>
  <si>
    <t>197801092009122002</t>
  </si>
  <si>
    <t>Dr. Raden Angga Kartiwa, dr., Sp.M(K)., M.Kes</t>
  </si>
  <si>
    <t>197801202006041002</t>
  </si>
  <si>
    <t xml:space="preserve">Mely Mudjahidah, dr., Sp.PD </t>
  </si>
  <si>
    <t>Indriasari, dr., Sp.An-KIC, M.Kes.</t>
  </si>
  <si>
    <t>197802212010122001</t>
  </si>
  <si>
    <t>197803122009121003</t>
  </si>
  <si>
    <t>197805052005012003</t>
  </si>
  <si>
    <t>Firman Priguna Tjahjono, dr., Sp.BS(K)., M.Kes.</t>
  </si>
  <si>
    <t>197805232009121001</t>
  </si>
  <si>
    <t>Basti Andriyoko, dr., Sp.PK.</t>
  </si>
  <si>
    <t>197806152010121001</t>
  </si>
  <si>
    <t>Dhany Budipratama, dr., Sp.An-KIC</t>
  </si>
  <si>
    <t>197806152014121001</t>
  </si>
  <si>
    <t>Andi Rinaldi, dr., Sp.OG.</t>
  </si>
  <si>
    <t>197807102009121003</t>
  </si>
  <si>
    <t>Iis Widiayati, dr., Sp.PD</t>
  </si>
  <si>
    <t>197808042005012011</t>
  </si>
  <si>
    <t>Andi Kurniadi, dr., Sp.OG, M.Kes.</t>
  </si>
  <si>
    <t>197809212008122001</t>
  </si>
  <si>
    <t>Farid Yudoyono, dr.,Sp.BS, M.Epid.</t>
  </si>
  <si>
    <t>197810042015041001</t>
  </si>
  <si>
    <t>Naomi Yosiati, dr., Sp.FM</t>
  </si>
  <si>
    <t>197810092006042010</t>
  </si>
  <si>
    <t>197810222016044001</t>
  </si>
  <si>
    <t>197811012009122002</t>
  </si>
  <si>
    <t>drh. Dwi Wahyudha Wira, M.Si</t>
  </si>
  <si>
    <t>197811092006041014</t>
  </si>
  <si>
    <t>197812112016044001</t>
  </si>
  <si>
    <t>Iwan Abdul Rachman, dr., Sp.An, M.Kes.</t>
  </si>
  <si>
    <t>197812192012121002</t>
  </si>
  <si>
    <t>Dr. Lisda Amalia,dr.,Sp.S(K)</t>
  </si>
  <si>
    <t>197901012014042001</t>
  </si>
  <si>
    <t>Dr. Reza Widianto Sudjud, dr., Sp.An.,M.Kes.</t>
  </si>
  <si>
    <t>197901102009121004</t>
  </si>
  <si>
    <t>197901212006042002</t>
  </si>
  <si>
    <t>Kharisma Perdani Kusumahstuti, dr, MMRS, Sp.KN</t>
  </si>
  <si>
    <t>197901252008122001</t>
  </si>
  <si>
    <t>Dr. Hesti Lina Wiraswati , S.Si, M.Si.</t>
  </si>
  <si>
    <t>197902022018034001</t>
  </si>
  <si>
    <t>Fedri Ruluwedrata Rinawan, dr.,M.Sc., Ph.D.</t>
  </si>
  <si>
    <t>197902072010121001</t>
  </si>
  <si>
    <t>Emmy Dwi Sugiarti, dr., Sp.M., M.Kes.</t>
  </si>
  <si>
    <t>197903052012081039</t>
  </si>
  <si>
    <t>Rudolf Andean, dr.,Sp.PD</t>
  </si>
  <si>
    <t>197903072006041002</t>
  </si>
  <si>
    <t>Lazuardhi Dwipa, dr., Sp.PD(K)</t>
  </si>
  <si>
    <t>197903132012010906</t>
  </si>
  <si>
    <t>197903172014042003</t>
  </si>
  <si>
    <t>197904182010122001</t>
  </si>
  <si>
    <t>197904222006041003</t>
  </si>
  <si>
    <t>Dr. Yuni Susanti Pratiwi, dr.,AIFO.,M.Kes.</t>
  </si>
  <si>
    <t>197906102008122002</t>
  </si>
  <si>
    <t>Dr. Dewi Yulianti Bisri, dr.,Sp.An.,M.Kes.</t>
  </si>
  <si>
    <t>197907032010122001</t>
  </si>
  <si>
    <t>Putria Rayani Apandi, dr., Sp.A., M.Kes.</t>
  </si>
  <si>
    <t>197908262014122005</t>
  </si>
  <si>
    <t>197910012014042001</t>
  </si>
  <si>
    <t>197910112010121001</t>
  </si>
  <si>
    <t>197910182010122002</t>
  </si>
  <si>
    <t>Dr. Nova Sylviana, dr., M.Kes.</t>
  </si>
  <si>
    <t>197911082010122002</t>
  </si>
  <si>
    <t>Adi Imam Cahyadi, dr., M.Kes.</t>
  </si>
  <si>
    <t>197912052016043001</t>
  </si>
  <si>
    <t>197912242014042001</t>
  </si>
  <si>
    <t>Nurita Dian Kestriani, dr., Sp.An-KIC</t>
  </si>
  <si>
    <t>198001052014122002</t>
  </si>
  <si>
    <t>Triwedya Indra Dewi, dr., Sp.JP</t>
  </si>
  <si>
    <t>198001202014061012</t>
  </si>
  <si>
    <t>198001232009122002</t>
  </si>
  <si>
    <t>198002022012121001</t>
  </si>
  <si>
    <t>Asep Nugraha Hermawan, dr.,Sp.S</t>
  </si>
  <si>
    <t>Mohamad Andy Prihartono, dr., Sp.An., KMN, M.Kes.</t>
  </si>
  <si>
    <t>198003072014121002</t>
  </si>
  <si>
    <t>198003202014042001</t>
  </si>
  <si>
    <t>Putri Teesa Radhiyanti Santoso, dr., M.Kes., Ph.D</t>
  </si>
  <si>
    <t>198005222009122003</t>
  </si>
  <si>
    <t>Badai Bhatara Tiksnadi, dr., MM, Sp.JP</t>
  </si>
  <si>
    <t>Dr. Vycke Yunivita Kusumah Dewi,dr.,M.Kes.</t>
  </si>
  <si>
    <t>198006172010122001</t>
  </si>
  <si>
    <t>198006172014041001</t>
  </si>
  <si>
    <t>198007062010071037</t>
  </si>
  <si>
    <t>R. Nuraini Yasmin K., dr., Sp.PD. Sp.JP.</t>
  </si>
  <si>
    <t>198007062012122001</t>
  </si>
  <si>
    <t>198007262008121003</t>
  </si>
  <si>
    <t>198007272018034001</t>
  </si>
  <si>
    <t>Kurnia Wahyudi, dr., M.Sc.</t>
  </si>
  <si>
    <t>198008242006041002</t>
  </si>
  <si>
    <t>198009032016044001</t>
  </si>
  <si>
    <t>Primawita O.Amiruddin, dr., Sp.M., M.Kes.</t>
  </si>
  <si>
    <t>198010102012122001</t>
  </si>
  <si>
    <t>Helni Mariani, dr., M.KM</t>
  </si>
  <si>
    <t>198011192016044001</t>
  </si>
  <si>
    <t>198012042008121001</t>
  </si>
  <si>
    <t>198012192016044001</t>
  </si>
  <si>
    <t>Lidya, M.Si., Ph.D.</t>
  </si>
  <si>
    <t>198101192018094001</t>
  </si>
  <si>
    <t>198102172015042001</t>
  </si>
  <si>
    <t>198102192008011008</t>
  </si>
  <si>
    <t>198102202008122001</t>
  </si>
  <si>
    <t>Ricky Aditya, dr., Sp.An., M.Kes.</t>
  </si>
  <si>
    <t>198104152014121001</t>
  </si>
  <si>
    <t>Adji Kusumadjati, dr., Sp.Onk.Rad., M.Kes.</t>
  </si>
  <si>
    <t>198104282008121002</t>
  </si>
  <si>
    <t>Nur Melani Sari, dr., Sp.A, M.Kes.</t>
  </si>
  <si>
    <t>198105052021094001</t>
  </si>
  <si>
    <t>Windi Nurdiawan, dr., Sp.OG(K)-Obginsos., M.Kes.</t>
  </si>
  <si>
    <t>198107312015041001</t>
  </si>
  <si>
    <t>Fitri Agustina Huspa, dr., Sp.FM</t>
  </si>
  <si>
    <t>198108042010122001</t>
  </si>
  <si>
    <t>198108052009122002</t>
  </si>
  <si>
    <t>Resti Gradia Dwiwina, dr., M.Kes</t>
  </si>
  <si>
    <t>198109252016044001</t>
  </si>
  <si>
    <t>198110102008011019</t>
  </si>
  <si>
    <t>Novi Vicahyani Utami, dr.,AIFO.,M.Kes.</t>
  </si>
  <si>
    <t>198111262008122001</t>
  </si>
  <si>
    <t>Dr. rer. nat. Afiat Berbudi, dr., M.Kes</t>
  </si>
  <si>
    <t>198201292009121001</t>
  </si>
  <si>
    <t>198202172015041002</t>
  </si>
  <si>
    <t>198204132018033001</t>
  </si>
  <si>
    <t>Melawati Hasan, dr., Sp.JP</t>
  </si>
  <si>
    <t>198205082016044001</t>
  </si>
  <si>
    <t>198206012012121001</t>
  </si>
  <si>
    <t>Ervita Ritonga, dr., M.Kes., Sp.PD-KEMD</t>
  </si>
  <si>
    <t>198209122014122005</t>
  </si>
  <si>
    <t>198211122009121003</t>
  </si>
  <si>
    <t>Mas Rizky Anggun Adipurna Syamsunarno, dr., M.Kes., Ph.D.</t>
  </si>
  <si>
    <t>198212012009121006</t>
  </si>
  <si>
    <t>Iyus Maolana Yusup, dr., Sp.Rad.</t>
  </si>
  <si>
    <t>198301132016043001</t>
  </si>
  <si>
    <t>Ferdy Ferdian, dr., Sp.PD</t>
  </si>
  <si>
    <t>198303042018045001</t>
  </si>
  <si>
    <t xml:space="preserve">Angga Fajriansyah, dr, Sp.M </t>
  </si>
  <si>
    <t>198303072018011001</t>
  </si>
  <si>
    <t>198304122016044001</t>
  </si>
  <si>
    <t>198306222015041002</t>
  </si>
  <si>
    <t>Marhendra Satria Utama, dr., Sp.Onk., Rad</t>
  </si>
  <si>
    <t>198307042015041001</t>
  </si>
  <si>
    <t>Kemala Isnainiasih Mantilidewi, dr., Sp.OG., Ph.D</t>
  </si>
  <si>
    <t>198309042015042001</t>
  </si>
  <si>
    <t>198309272016043001</t>
  </si>
  <si>
    <t>198311202017044001</t>
  </si>
  <si>
    <t>198311252015042003</t>
  </si>
  <si>
    <t>Miranti Pangastuti, dr., Sp.DV</t>
  </si>
  <si>
    <t>198312052018094001</t>
  </si>
  <si>
    <t>Istingadah Desiana, dr., Sp.KFR</t>
  </si>
  <si>
    <t>198312102018012001</t>
  </si>
  <si>
    <t>Rusti Hanindya Sari, dr., Sp.M</t>
  </si>
  <si>
    <t>198403032019032014</t>
  </si>
  <si>
    <t>198403062018012001</t>
  </si>
  <si>
    <t xml:space="preserve">Putri Vidyaniati, dr., Sp.PD., M.Kes. </t>
  </si>
  <si>
    <t>198403252015042002</t>
  </si>
  <si>
    <t>Gezy Weita GiwangKancana, dr., Sp.An</t>
  </si>
  <si>
    <t>198403272018012001</t>
  </si>
  <si>
    <t>198408312019031008</t>
  </si>
  <si>
    <t>Dimas Erlangga Luftimas, dr., M.Kes., Sp.GK</t>
  </si>
  <si>
    <t>198410162016043001</t>
  </si>
  <si>
    <t>Gita Widya Pradini, dr., M.Kes.</t>
  </si>
  <si>
    <t>198411172018032001</t>
  </si>
  <si>
    <t>Wulan Mayasari, dr., MH.Kes.</t>
  </si>
  <si>
    <t>198412032012122003</t>
  </si>
  <si>
    <t>Arief Akhdestira Mustaram, dr., Sp.M</t>
  </si>
  <si>
    <t>Hawani Sasmaya Prameswari, dr., Sp.JP</t>
  </si>
  <si>
    <t>198501272018012001</t>
  </si>
  <si>
    <t xml:space="preserve">Filla Reviyani Suryaningrat, dr., Sp.A. </t>
  </si>
  <si>
    <t>198502012020122007</t>
  </si>
  <si>
    <t>Sesy Caesarya, dr., Sp.M</t>
  </si>
  <si>
    <t>198504022018046001</t>
  </si>
  <si>
    <t>Miftah Pramudyo, dr., Sp.JP</t>
  </si>
  <si>
    <t>198504162016043001</t>
  </si>
  <si>
    <t>Mulya Nurmansyah Ardisasmita, dr., M.T.</t>
  </si>
  <si>
    <t>198504212016043001</t>
  </si>
  <si>
    <t>Astri Astuti, dr., Sp.JP</t>
  </si>
  <si>
    <t>198505082018012001</t>
  </si>
  <si>
    <t>198506152016043001</t>
  </si>
  <si>
    <t>Maha Chakri Willheljulya, dr.,Sp.PD</t>
  </si>
  <si>
    <t>198507122019022001</t>
  </si>
  <si>
    <t>198507152016043001</t>
  </si>
  <si>
    <t>Giky Karwiky, dr., Sp.JP</t>
  </si>
  <si>
    <t>198508032016043001</t>
  </si>
  <si>
    <t>Radian Ahmad Halimi, dr., Sp.An.</t>
  </si>
  <si>
    <t>Reza Rinaldy Harahap, dr., Sp.KN</t>
  </si>
  <si>
    <t>Eko Fuji Ariyanto , dr., M.KM., Ph.D.</t>
  </si>
  <si>
    <t>198510312018033001</t>
  </si>
  <si>
    <t>Osmond Muftilov Pison, dr., Sp.An</t>
  </si>
  <si>
    <t>198601032018011001</t>
  </si>
  <si>
    <t>Artha Falentin Putri Susilo, dr., Sp.OG</t>
  </si>
  <si>
    <t>198602122018012001</t>
  </si>
  <si>
    <t>Intan Mauli Warma Dewi, dr.,M.A., Ph.D</t>
  </si>
  <si>
    <t>198602132015042002</t>
  </si>
  <si>
    <t>Putri Halleyana Adrikni Rahman, dr., M.Kes.</t>
  </si>
  <si>
    <t>198603262016044001</t>
  </si>
  <si>
    <t>Indah Amelia, dr., M.KM</t>
  </si>
  <si>
    <t>198605022016044001</t>
  </si>
  <si>
    <t>M. Akbar Tirtosudiro, dr., SpA</t>
  </si>
  <si>
    <t>198606172018011001</t>
  </si>
  <si>
    <t>Ita Krissanti, drh., M. Si.</t>
  </si>
  <si>
    <t>198606212017044001</t>
  </si>
  <si>
    <t>Hana Nur Ramila, dr., Sp.An</t>
  </si>
  <si>
    <t>198608042019022001</t>
  </si>
  <si>
    <t>Sani Tanzilah, dr., Sp.FM</t>
  </si>
  <si>
    <t>198608102014042001</t>
  </si>
  <si>
    <t>Nandina Oktavia, dr., MM</t>
  </si>
  <si>
    <t>198610122016044001</t>
  </si>
  <si>
    <t>Aninka Saboe, dr., Sp.JP</t>
  </si>
  <si>
    <t>198610152019022001</t>
  </si>
  <si>
    <t>Achmad Adhipatria Perayabangsa Kartamihardja,dr.,M.H.Kes., Ph.D.</t>
  </si>
  <si>
    <t>198610272012121004</t>
  </si>
  <si>
    <t xml:space="preserve">Grimaldi Ihsan, dr., Sp.M </t>
  </si>
  <si>
    <t>198612022018045001</t>
  </si>
  <si>
    <t>Febia Erfiandi, dr., Sp.OG</t>
  </si>
  <si>
    <t>198702112019021001</t>
  </si>
  <si>
    <t>R.M. Rendy Ariezal Effendi, dr., SpDV</t>
  </si>
  <si>
    <t>198703242018093001</t>
  </si>
  <si>
    <t>Budi Sujatmiko, dr., M.Epid.</t>
  </si>
  <si>
    <t>198703272016043001</t>
  </si>
  <si>
    <t>Bayu Adrian Prasatyo Wilopo.,dr., M.Sc</t>
  </si>
  <si>
    <t>198704232014041001</t>
  </si>
  <si>
    <t>Almira Zada, dr., M.Si.med</t>
  </si>
  <si>
    <t>198707312015042001</t>
  </si>
  <si>
    <t>M. Iman Pratama Putra, dr.,Sp.PD</t>
  </si>
  <si>
    <t>198710212019021001</t>
  </si>
  <si>
    <t>Alma Wijaya, dr., Sp.B</t>
  </si>
  <si>
    <t>198712262019021001</t>
  </si>
  <si>
    <t>Yunisa Pamela, dr, M.Sc.</t>
  </si>
  <si>
    <t>198806252015042003</t>
  </si>
  <si>
    <t>Rizky Andhika, dr.,Sp.PD</t>
  </si>
  <si>
    <t>198809022019021001</t>
  </si>
  <si>
    <t>Okta Wismandanu, drh., M.Epid.</t>
  </si>
  <si>
    <t>198810062017044001</t>
  </si>
  <si>
    <t>Dani Ferdian, dr., M.KM</t>
  </si>
  <si>
    <t>198904052016043001</t>
  </si>
  <si>
    <t>198906252016044001</t>
  </si>
  <si>
    <t>Dr. Sarasati Windria, drh.</t>
  </si>
  <si>
    <t>198907092018034001</t>
  </si>
  <si>
    <t xml:space="preserve">Raja Iqbal Mulya Harahap, dr., Sp.PK. </t>
  </si>
  <si>
    <t>198908112020121008</t>
  </si>
  <si>
    <t>Trianing Tyas Kusuma, S.Pt., M.I.L.</t>
  </si>
  <si>
    <t>199001172017044001</t>
  </si>
  <si>
    <t>Dr. Aziiz Mardanarian Rosdianto, S.Kep., Ners., M.Si., MH.Kes., AIF</t>
  </si>
  <si>
    <t>199003142018093001</t>
  </si>
  <si>
    <t>Noormarina Indraswari, S.Gz., MPH</t>
  </si>
  <si>
    <t>199010032018032001</t>
  </si>
  <si>
    <t>Rima Destya Triatin, dr., M.Sc.</t>
  </si>
  <si>
    <t>199012272016044001</t>
  </si>
  <si>
    <t>Andi Hiroyuki, S.KH., M.Si.</t>
  </si>
  <si>
    <t>199107052018093001</t>
  </si>
  <si>
    <t>199110212018094001</t>
  </si>
  <si>
    <t>Septiyani, drh., S.K.H</t>
  </si>
  <si>
    <t>199209262019032028</t>
  </si>
  <si>
    <t>Muhammad Budi Kurniawan, dr., Sp.An</t>
  </si>
  <si>
    <t>198611222014041001</t>
  </si>
  <si>
    <t>Aly Diana, dr., M.Kes.,Ph.D</t>
  </si>
  <si>
    <t>199311052021094001</t>
  </si>
  <si>
    <t>196810121999071001</t>
  </si>
  <si>
    <t>196601062005011001</t>
  </si>
  <si>
    <t>197507202006042006</t>
  </si>
  <si>
    <t>196402041991022001</t>
  </si>
  <si>
    <t>197202242006041002</t>
  </si>
  <si>
    <t>197405212000121002</t>
  </si>
  <si>
    <t>196305191987122001</t>
  </si>
  <si>
    <t>198104282015042001</t>
  </si>
  <si>
    <t>198302072016044001</t>
  </si>
  <si>
    <t>196607311995032001</t>
  </si>
  <si>
    <t>197104171997021002</t>
  </si>
  <si>
    <t>197408022001121003</t>
  </si>
  <si>
    <t>198503102016043001</t>
  </si>
  <si>
    <t>197105311999032002</t>
  </si>
  <si>
    <t>197204181999032003</t>
  </si>
  <si>
    <t>197204201997021003</t>
  </si>
  <si>
    <t>197706222009121003</t>
  </si>
  <si>
    <t>197306122014122003</t>
  </si>
  <si>
    <t>198005272014121001</t>
  </si>
  <si>
    <t>STATUS AKTIF/TIDAK AKTIF</t>
  </si>
  <si>
    <t>Tanggal Lahir</t>
  </si>
  <si>
    <t>USIA</t>
  </si>
  <si>
    <t>Alamat Rumah</t>
  </si>
  <si>
    <t>Email</t>
  </si>
  <si>
    <t>Telepon</t>
  </si>
  <si>
    <t>HP</t>
  </si>
  <si>
    <t>Jl. Sarijadi 79</t>
  </si>
  <si>
    <t>Jl. Karawitan N0.6, Bandung</t>
  </si>
  <si>
    <t>cissy.rachiana@unpad.ac.id</t>
  </si>
  <si>
    <t>(022)7303283</t>
  </si>
  <si>
    <t>0811219609</t>
  </si>
  <si>
    <t>Jl. Venus Timur XIII No. 3 Komp. Metro</t>
  </si>
  <si>
    <t>ida.parwati@unpad.ac.id</t>
  </si>
  <si>
    <t>(022)7561751</t>
  </si>
  <si>
    <t>08166066558</t>
  </si>
  <si>
    <t>Jl. Cibolerang 71 A Marga Suka Babakan Ciparay</t>
  </si>
  <si>
    <t>dedi.rachmadi.sjambas@unpad.ac.id</t>
  </si>
  <si>
    <t>(022)5413471</t>
  </si>
  <si>
    <t>081320608455</t>
  </si>
  <si>
    <t>Jl. Kihiur No. 1 Cihapit</t>
  </si>
  <si>
    <t>kadep.pat.anatomi@unpad.ac.id</t>
  </si>
  <si>
    <t>(022)7107008</t>
  </si>
  <si>
    <t>0816611912</t>
  </si>
  <si>
    <t>Komp. Cipaganti Permai I-2 Cipaganti</t>
  </si>
  <si>
    <t>heda.melinda.nazaruddin@unpad.ac.id</t>
  </si>
  <si>
    <t>(022)2038334</t>
  </si>
  <si>
    <t>0811229294</t>
  </si>
  <si>
    <t>Jl. Suryalaya XII No. 1A</t>
  </si>
  <si>
    <t>dwi.prasetyo@unpad.ac.id</t>
  </si>
  <si>
    <t>(022)7323707</t>
  </si>
  <si>
    <t>0812-2398126</t>
  </si>
  <si>
    <t>Jl.Pasar Utara No.16</t>
  </si>
  <si>
    <t>hussein2016@unpad.ac.id</t>
  </si>
  <si>
    <t>(022)2040330</t>
  </si>
  <si>
    <t>0811249673</t>
  </si>
  <si>
    <t>Jl. Sarijati II No. 7 Margasari</t>
  </si>
  <si>
    <t>dida.akhmad.gurnida@unpad.ac.id</t>
  </si>
  <si>
    <t>(022)7504817</t>
  </si>
  <si>
    <t>08122019193</t>
  </si>
  <si>
    <t>Muara Takus I Blk P 46 Cibeureum</t>
  </si>
  <si>
    <t>vita.murniati@unpad.ac.id</t>
  </si>
  <si>
    <t>08122373337</t>
  </si>
  <si>
    <t>Jl. Buton No. 10</t>
  </si>
  <si>
    <t>budi.setiabudiawan@unpad.ac.id</t>
  </si>
  <si>
    <t>0811 217 293</t>
  </si>
  <si>
    <t>Jl. H. Kurdi II No.10</t>
  </si>
  <si>
    <t>t.achmad@unpad.ac.id</t>
  </si>
  <si>
    <t>(022)5206745</t>
  </si>
  <si>
    <t>08122091962</t>
  </si>
  <si>
    <t>Jl. Awiligar No. 26 Bandung</t>
  </si>
  <si>
    <t>yudi.mulyana@unpad.ac.id</t>
  </si>
  <si>
    <t>(022)2505889</t>
  </si>
  <si>
    <t>08122024759</t>
  </si>
  <si>
    <t>Jl. Raya Soreang No. 9</t>
  </si>
  <si>
    <t>dany.hilmanto@unpad.ac.id</t>
  </si>
  <si>
    <t>(022)5893029</t>
  </si>
  <si>
    <t>08122266879</t>
  </si>
  <si>
    <t>Jl. Durma 57</t>
  </si>
  <si>
    <t>meita.dhamayanti@unpad.ac.id</t>
  </si>
  <si>
    <t>0811233919</t>
  </si>
  <si>
    <t>Komp. Dai Ichi No. 9 Jl. Terusan Jakarta Utara</t>
  </si>
  <si>
    <t>oki.suwarsa@unpad.ac.id</t>
  </si>
  <si>
    <t>085797805964</t>
  </si>
  <si>
    <t>Kanayakan A No. 6</t>
  </si>
  <si>
    <t>yoyos@unpad.ac.id</t>
  </si>
  <si>
    <t>0818610240 /</t>
  </si>
  <si>
    <t>Jl. Surya Sumantri No.91 RT. 005 / RW. 004</t>
  </si>
  <si>
    <t>rovina.ruslami@unpad.ac.id</t>
  </si>
  <si>
    <t>081342340336</t>
  </si>
  <si>
    <t>Jl. Bukit Dago Utara III/7</t>
  </si>
  <si>
    <t>a.kartasasmita@unpad.ac.id</t>
  </si>
  <si>
    <t>(022)2516014</t>
  </si>
  <si>
    <t>08122302267</t>
  </si>
  <si>
    <t>Jl. Caringin No. 60 B</t>
  </si>
  <si>
    <t>ahmad.faried@unpad.ac.id</t>
  </si>
  <si>
    <t>081320230371</t>
  </si>
  <si>
    <t>Jln. Ski Air No. 18</t>
  </si>
  <si>
    <t>marhaeni@unpad.ac.id</t>
  </si>
  <si>
    <t>082126033975</t>
  </si>
  <si>
    <t>Griya Bukit Mas II F.12 Bojong Koneng</t>
  </si>
  <si>
    <t>trias.nugrahadi@unpad.ac.id</t>
  </si>
  <si>
    <t>(022)7210255</t>
  </si>
  <si>
    <t>0811222985</t>
  </si>
  <si>
    <t>Jl. Komp. Dago Parahyangan Blok k6 Antapani</t>
  </si>
  <si>
    <t>elsa.pudji@unpad.ac.id</t>
  </si>
  <si>
    <t>(022)7216981</t>
  </si>
  <si>
    <t>08122320872</t>
  </si>
  <si>
    <t>Jl. Bukit Dago Selatan No. 15</t>
  </si>
  <si>
    <t>kiki.lukman@unpad.ac.id</t>
  </si>
  <si>
    <t>(022)2503781</t>
  </si>
  <si>
    <t>0811237426</t>
  </si>
  <si>
    <t>Jl. Setrasari II/10</t>
  </si>
  <si>
    <t>reno.rudiman@unpad.ac.id</t>
  </si>
  <si>
    <t>(022)2011261</t>
  </si>
  <si>
    <t>0811222074</t>
  </si>
  <si>
    <t>Jl. Mayang 1 Blok AM no. 7 Kompl. Billy &amp; Moon</t>
  </si>
  <si>
    <t>e.sahiratmadja@gmail.com &amp; edhyanas@yahoo.com</t>
  </si>
  <si>
    <t>(022)7232810</t>
  </si>
  <si>
    <t>0816996309</t>
  </si>
  <si>
    <t>Jl. Sidomukti No. 62</t>
  </si>
  <si>
    <t>uni.gamayani@unpad.ac.id</t>
  </si>
  <si>
    <t>(022)70190577</t>
  </si>
  <si>
    <t>08122377905</t>
  </si>
  <si>
    <t>JL. Mutiara II No. 1A RT 009 RW 008</t>
  </si>
  <si>
    <t>januar.wibawa.martha@unpad.ac.id</t>
  </si>
  <si>
    <t>(022)7301594</t>
  </si>
  <si>
    <t>08112210791</t>
  </si>
  <si>
    <t>Jl. Sarimadu Dalam No.9 Sarijadi Blok 26 RT 008, RW 001</t>
  </si>
  <si>
    <t>agnes.rengga@unpad.ac.id</t>
  </si>
  <si>
    <t>(022)820256</t>
  </si>
  <si>
    <t>08156009886</t>
  </si>
  <si>
    <t>Jl. Kancra No 39</t>
  </si>
  <si>
    <t>rudi.supriadi@unpad.ac.id</t>
  </si>
  <si>
    <t>(022)7323291</t>
  </si>
  <si>
    <t>08122367303</t>
  </si>
  <si>
    <t>Jl.Pinguin Raya 13 (11A) Bandung</t>
  </si>
  <si>
    <t>yoni.fuadah@unpad.ac.id</t>
  </si>
  <si>
    <t>(022)6044212</t>
  </si>
  <si>
    <t>08122387320</t>
  </si>
  <si>
    <t>Jl. Saturnus Timur VIII no 4</t>
  </si>
  <si>
    <t>setiawan@unpad.ac.id</t>
  </si>
  <si>
    <t>(022)87529926</t>
  </si>
  <si>
    <t>081293215741</t>
  </si>
  <si>
    <t>Jl. Ir. H. Juanda no. 389</t>
  </si>
  <si>
    <t>m.rizki.akbar@unpad.ac.id</t>
  </si>
  <si>
    <t>(022)2503348</t>
  </si>
  <si>
    <t>081221040265</t>
  </si>
  <si>
    <t>Jl.Bukit Dago Selatan No.42</t>
  </si>
  <si>
    <t>wijana@unpad.ac.id</t>
  </si>
  <si>
    <t>(022)2500210</t>
  </si>
  <si>
    <t>08122017734</t>
  </si>
  <si>
    <t>Komp. Mega Asri 3 No. D-18</t>
  </si>
  <si>
    <t>iwan.fuadi@unpad.ac.id</t>
  </si>
  <si>
    <t>(022)6028884</t>
  </si>
  <si>
    <t>08122347960</t>
  </si>
  <si>
    <t>Jl. Setrasari Dalam No. 8</t>
  </si>
  <si>
    <t>suwarman@unpad.ac.id</t>
  </si>
  <si>
    <t>Jl. Sadakeling No. 61 RT 001 RW 006</t>
  </si>
  <si>
    <t>e.rohmawaty@unpad.ac.id</t>
  </si>
  <si>
    <t>(022)7318974</t>
  </si>
  <si>
    <t>08157133135</t>
  </si>
  <si>
    <t>Jl.Situsari Wetan No.5</t>
  </si>
  <si>
    <t>vitriana@unpad.ac.id</t>
  </si>
  <si>
    <t>(022)7302931</t>
  </si>
  <si>
    <t>08156262733</t>
  </si>
  <si>
    <t>Komp. Duta Regency Cihanjuang E26 Jl. Cihanjuang</t>
  </si>
  <si>
    <t>gaga.irawan@unpad.ac.id</t>
  </si>
  <si>
    <t>(022)86617008</t>
  </si>
  <si>
    <t>0815731001992</t>
  </si>
  <si>
    <t>reiva@unpad.ac.id</t>
  </si>
  <si>
    <t>0811247474</t>
  </si>
  <si>
    <t>Komp. Daichi Antapani</t>
  </si>
  <si>
    <t>achmad.adam@unpad.ac.id</t>
  </si>
  <si>
    <t>(022)2502062</t>
  </si>
  <si>
    <t>0818213817 -</t>
  </si>
  <si>
    <t>Jl. Kamper Kencana No. 9-12 Kamper Cluster Bumi Panyawangan</t>
  </si>
  <si>
    <t>yussy.afriani@unpad.ac.id</t>
  </si>
  <si>
    <t>(022)87825554</t>
  </si>
  <si>
    <t>08112272773</t>
  </si>
  <si>
    <t>Perumahan Sarimas Jl. Sarimas III No. 26</t>
  </si>
  <si>
    <t>moh.ghozali@unpad.ac.id</t>
  </si>
  <si>
    <t>(022)7214314</t>
  </si>
  <si>
    <t>081320359090</t>
  </si>
  <si>
    <t>Komplek Bumi Pasundan no. 144. Rt05/08</t>
  </si>
  <si>
    <t>sri.yusnita@unpad.ac.id</t>
  </si>
  <si>
    <t>08122394038</t>
  </si>
  <si>
    <t>Jl. Suryalaya Timur No. 1</t>
  </si>
  <si>
    <t>yuliantibisri@yahoo.com</t>
  </si>
  <si>
    <t>(022)7314763</t>
  </si>
  <si>
    <t>0813 2121 6511</t>
  </si>
  <si>
    <t>Jl. Sharon Timur I no.34, Grand Sharon Residence, rt.04 rw.11</t>
  </si>
  <si>
    <t>leonardo@unpad.ac.id</t>
  </si>
  <si>
    <t>085353699557</t>
  </si>
  <si>
    <t>Kawaluyaan Regency Kav. A/18 RT/RW 006/006</t>
  </si>
  <si>
    <t>andri.rezano@unpad.ac.id</t>
  </si>
  <si>
    <t>(022)2035578</t>
  </si>
  <si>
    <t>081218815380</t>
  </si>
  <si>
    <t>Perumahan Nata Endah 2 Sadang Jl. Alamanda II O/89, kopo bandung</t>
  </si>
  <si>
    <t>ronny@unpad.ac.id</t>
  </si>
  <si>
    <t>(022)5419207</t>
  </si>
  <si>
    <t>081320791627</t>
  </si>
  <si>
    <t>Jalan Merkuri Selatan XIII No. 3 RT 02/08</t>
  </si>
  <si>
    <t>astrid.khairani@unpad.ac.id</t>
  </si>
  <si>
    <t>(022)7561434</t>
  </si>
  <si>
    <t>08112112612</t>
  </si>
  <si>
    <t>Jl. Madrasah II/14 Rt 003/02</t>
  </si>
  <si>
    <t>n.atik@unpad.ac.id</t>
  </si>
  <si>
    <t>(022)91599418</t>
  </si>
  <si>
    <t>081280956825</t>
  </si>
  <si>
    <t>Dr. med. Muhammad Hasan Bashari, dr., M.Kes., Ph.D.</t>
  </si>
  <si>
    <t>Ngipik RT 02</t>
  </si>
  <si>
    <t>bashari@unpad.ac.id</t>
  </si>
  <si>
    <t>081333582383</t>
  </si>
  <si>
    <t>Komp. Bumi Panyileukan Blok Citra AB10 No. 4</t>
  </si>
  <si>
    <t>rizky@unpad.ac.id</t>
  </si>
  <si>
    <t>081321644359</t>
  </si>
  <si>
    <t>Jl. Joging I No. 9 RT.003 RW.013</t>
  </si>
  <si>
    <t>d.k.sunjaya@unpad.ac.id</t>
  </si>
  <si>
    <t>(022)6650342</t>
  </si>
  <si>
    <t>081328356775</t>
  </si>
  <si>
    <t>Jl.Setra Duta Cemara I/K-4-28</t>
  </si>
  <si>
    <t>sharon@unpad.ac.id</t>
  </si>
  <si>
    <t>(022)2015529</t>
  </si>
  <si>
    <t xml:space="preserve">0811234624 </t>
  </si>
  <si>
    <t>Jl. Setrasari II no. 10</t>
  </si>
  <si>
    <t>pandji.irani.fianza@unpad.ac.id</t>
  </si>
  <si>
    <t>(022)2044067</t>
  </si>
  <si>
    <t>0811237884</t>
  </si>
  <si>
    <t>Jl.Biologi No.7 Cigadung</t>
  </si>
  <si>
    <t>y.sofiatin@unpad.ac.id</t>
  </si>
  <si>
    <t>(022)2511461</t>
  </si>
  <si>
    <t>08122325607</t>
  </si>
  <si>
    <t>Setra Sari Kulon IV No. 5 B</t>
  </si>
  <si>
    <t>anggraini.widjajakusuma@unpad.ac.id</t>
  </si>
  <si>
    <t>(022)2008029</t>
  </si>
  <si>
    <t>081809072726</t>
  </si>
  <si>
    <t>Jl. Gegerkalong Tonggoh I No. 3</t>
  </si>
  <si>
    <t>m.begawan.bestari@unpad.ac.id</t>
  </si>
  <si>
    <t>0816628795</t>
  </si>
  <si>
    <t>Jl. Waruga Jaya No. 166A</t>
  </si>
  <si>
    <t>tina.d.judistiani@unpad.ac.id</t>
  </si>
  <si>
    <t>(022)2017728</t>
  </si>
  <si>
    <t>0811249731</t>
  </si>
  <si>
    <t>Padalarang</t>
  </si>
  <si>
    <t>basuki@unpad.ac.id</t>
  </si>
  <si>
    <t>(022)6620131</t>
  </si>
  <si>
    <t>08122025078</t>
  </si>
  <si>
    <t>Jl. Gegerkalong Girang Baru II/18 RT/RW 001/006</t>
  </si>
  <si>
    <t>imam.megantara@unpad.ac.id</t>
  </si>
  <si>
    <t>0816612839</t>
  </si>
  <si>
    <t>Jl.Rajamantri I No.6 Rt.008/004 Bandung</t>
  </si>
  <si>
    <t>a.dermawan@unpad.ac.id</t>
  </si>
  <si>
    <t>(022)7306127</t>
  </si>
  <si>
    <t>08122015818</t>
  </si>
  <si>
    <t>Irvan Afriandi, dr., Grad.Dipl.OEH., MPH., Dr.PH</t>
  </si>
  <si>
    <t>Jl. Kawaluyaan Indah V No. 17</t>
  </si>
  <si>
    <t>i.afriandi@unpad.ac.id</t>
  </si>
  <si>
    <t>(022)7317645</t>
  </si>
  <si>
    <t>081320395588</t>
  </si>
  <si>
    <t>Jl Rancakendal No 172</t>
  </si>
  <si>
    <t>renighrahani@yahoo.com</t>
  </si>
  <si>
    <t>08122111482</t>
  </si>
  <si>
    <t>Jl. Gegerkalong Lebak Raya No. 18</t>
  </si>
  <si>
    <t>andri.reza.rahmadi@unpad.ac.id</t>
  </si>
  <si>
    <t>08164863057</t>
  </si>
  <si>
    <t>Jl. Parasitologi Cigadung</t>
  </si>
  <si>
    <t>chrysanti@unpad.ac.id</t>
  </si>
  <si>
    <t>(022)2510112</t>
  </si>
  <si>
    <t>08121491031</t>
  </si>
  <si>
    <t>Jl. Gunung Mas G42 Ciumbuleuit</t>
  </si>
  <si>
    <t>amillia@unpad.ac.id</t>
  </si>
  <si>
    <t>(022)2035320</t>
  </si>
  <si>
    <t>081220055902</t>
  </si>
  <si>
    <t>Jl. Sukamaju No. 10</t>
  </si>
  <si>
    <t>herry.herman@unpad.ac.id</t>
  </si>
  <si>
    <t>(022)230261</t>
  </si>
  <si>
    <t>081399998199</t>
  </si>
  <si>
    <t>Jl. Sindang Sirna No. 1 Kel. Gegerkalong</t>
  </si>
  <si>
    <t>marfen.djajakusumah@gmail.com</t>
  </si>
  <si>
    <t>(022)2031596</t>
  </si>
  <si>
    <t>08122023770</t>
  </si>
  <si>
    <t>Jl. Progo No. 24</t>
  </si>
  <si>
    <t>aaron.tigor.sihombing@unpad.ac.id</t>
  </si>
  <si>
    <t>(022)4215707</t>
  </si>
  <si>
    <t>081321329126</t>
  </si>
  <si>
    <t>Jl. Nilem VIII No. 15</t>
  </si>
  <si>
    <t>guswan.w@gmail.com</t>
  </si>
  <si>
    <t>(022)87798352</t>
  </si>
  <si>
    <t>08562112871</t>
  </si>
  <si>
    <t>Jl. Cikutra Baru V No. 2 A</t>
  </si>
  <si>
    <t>kuswandewi.mutyara@unpad.ac.id</t>
  </si>
  <si>
    <t>(022)7104257</t>
  </si>
  <si>
    <t>0811217081</t>
  </si>
  <si>
    <t>eva.krishna@unpad.ac.id</t>
  </si>
  <si>
    <t>(022)70280200</t>
  </si>
  <si>
    <t>08122014300</t>
  </si>
  <si>
    <t>Jl. Setra Indah No 11A</t>
  </si>
  <si>
    <t>fathurachman@unpad.ac.id</t>
  </si>
  <si>
    <t>(022)2019651</t>
  </si>
  <si>
    <t>08552108929</t>
  </si>
  <si>
    <t>Komp. Pajajaran Regency blok C/12-D</t>
  </si>
  <si>
    <t>savira@unpad.ac.id</t>
  </si>
  <si>
    <t>(022)20664186</t>
  </si>
  <si>
    <t>081287910120</t>
  </si>
  <si>
    <t>Jl. Hasanudin II No. H-194</t>
  </si>
  <si>
    <t>yenni@unpad.ac.id</t>
  </si>
  <si>
    <t>Jl. Sadang Tengah III No. 17</t>
  </si>
  <si>
    <t>dwi.agustian@unpad.ac.id</t>
  </si>
  <si>
    <t>(022)2513884</t>
  </si>
  <si>
    <t>08112421200</t>
  </si>
  <si>
    <t>Dedi Fitriyadi, dr., Sp.An</t>
  </si>
  <si>
    <t>Jl. Setrasari Kulon I no.8 Bandung</t>
  </si>
  <si>
    <t>dedi.fitri.yadi@unpad.ac.id</t>
  </si>
  <si>
    <t>(022)91276381</t>
  </si>
  <si>
    <t>081321341101</t>
  </si>
  <si>
    <t>Kembar Tengah IV/16</t>
  </si>
  <si>
    <t>nanny.natalia@unpad.ac.id</t>
  </si>
  <si>
    <t>0811210362</t>
  </si>
  <si>
    <t>Sarijadi blok. 8 no. 19 Kota Bandung</t>
  </si>
  <si>
    <t>lia.faridah@unpad.ac.id</t>
  </si>
  <si>
    <t>(022)2004557</t>
  </si>
  <si>
    <t>08122019367</t>
  </si>
  <si>
    <t>Jl. Siliwangi No 47 A Baleendah</t>
  </si>
  <si>
    <t>fayzal_bdg@yahoo.co.id, faisal.pediatric@gmail.com</t>
  </si>
  <si>
    <t>0811223719</t>
  </si>
  <si>
    <t>Cigadung Makmur 3 Kav.8 Rt.02/05</t>
  </si>
  <si>
    <t>hermin@unpad.ac.id</t>
  </si>
  <si>
    <t>(022)82522442</t>
  </si>
  <si>
    <t>08112204910</t>
  </si>
  <si>
    <t>Kompleks Taman Kopo Indah I Blok A2 no. 169, Jalan Raya Taman Kopo, Kopo Sayati, Bandung</t>
  </si>
  <si>
    <t>yenti.permata@unpad.ac.id</t>
  </si>
  <si>
    <t>085659147292</t>
  </si>
  <si>
    <t>Jl. Salatiga No. 3 RT. 05/12 Antapani Kidul</t>
  </si>
  <si>
    <t>chevi.sayusman@unpad.ac.id</t>
  </si>
  <si>
    <t>081320215862</t>
  </si>
  <si>
    <t>Jl. Setra Sari Kulon I no. 8</t>
  </si>
  <si>
    <t>maula@unpad.ac.id</t>
  </si>
  <si>
    <t>0811236421</t>
  </si>
  <si>
    <t>Jl. PLN Dalam No. 8A RT 002 RW 005</t>
  </si>
  <si>
    <t>henhen@unpad.ac.id</t>
  </si>
  <si>
    <t>(022)7319723</t>
  </si>
  <si>
    <t>08122247089</t>
  </si>
  <si>
    <t>Jl. saturnus Selatan 3/19</t>
  </si>
  <si>
    <t>nita.arisanti@unpad.ac.id</t>
  </si>
  <si>
    <t>08122386276</t>
  </si>
  <si>
    <t>Jl. Kawaluyaan Indah 5 No17 Margacinta</t>
  </si>
  <si>
    <t>anglita.yantisetasti@unpad.ac.id</t>
  </si>
  <si>
    <t xml:space="preserve">08122444150 </t>
  </si>
  <si>
    <t>Jl. Prof. Sutami No. 129 Sukarasa</t>
  </si>
  <si>
    <t>agung13015@unpad.ac.id</t>
  </si>
  <si>
    <t>(022)2006241</t>
  </si>
  <si>
    <t>0811222641</t>
  </si>
  <si>
    <t>jl SArimas V no 4 Rt 05 RW 17</t>
  </si>
  <si>
    <t>iceu_dk@yahoo.com</t>
  </si>
  <si>
    <t>087823427161</t>
  </si>
  <si>
    <t>Griya Bukit Mas II, No. D3-6, Bojongkoneng, Cikutra</t>
  </si>
  <si>
    <t>bony.wiem@unpad.ac.id</t>
  </si>
  <si>
    <t>(022)7102436</t>
  </si>
  <si>
    <t>08122375633</t>
  </si>
  <si>
    <t>Jl.Gempol Wetan no. 121 Bandung</t>
  </si>
  <si>
    <t>shelly@unpad.ac.id</t>
  </si>
  <si>
    <t>(022)2504854</t>
  </si>
  <si>
    <t>08562133201</t>
  </si>
  <si>
    <t>Dr. Jur. Rully Hanafi Dahlan, dr., Sp.BS-K.Spine, M.Kes., S.H.</t>
  </si>
  <si>
    <t>Jl. Terusan Prof. Sutami No. 25. RT 06/RW 03</t>
  </si>
  <si>
    <t>rully.hanafi.dahlan@unpad.ac.id</t>
  </si>
  <si>
    <t>08122022044/081320658731</t>
  </si>
  <si>
    <t>Jl. Situsari VI No. 5</t>
  </si>
  <si>
    <t>spdewi@unpad.ac.id</t>
  </si>
  <si>
    <t>(022)7308053</t>
  </si>
  <si>
    <t>081406404260</t>
  </si>
  <si>
    <t>Jl. Setra Murni No.8</t>
  </si>
  <si>
    <t>shinta.fitri.boesoirie@unpad.ac.id</t>
  </si>
  <si>
    <t>081220199980</t>
  </si>
  <si>
    <t>Jl. Setra Murni III No.2 Sukarasa Sukasari</t>
  </si>
  <si>
    <t>shanti.fitrianti.boesoirie@unpad.ac.id</t>
  </si>
  <si>
    <t>(022)2012636</t>
  </si>
  <si>
    <t>08122333898</t>
  </si>
  <si>
    <t>Jl. Parakan Ayu I No. 2</t>
  </si>
  <si>
    <t>harry.galuh@unpad.ac.id</t>
  </si>
  <si>
    <t>(022)7503915</t>
  </si>
  <si>
    <t>08122004801</t>
  </si>
  <si>
    <t>Komplek Panghegar Permai, Jl. Pamekar Raya, Cluster My Home Blok - G No. 10 RT. 02/02</t>
  </si>
  <si>
    <t>y.sribudiani@unpad.ac.id</t>
  </si>
  <si>
    <t>081324729211</t>
  </si>
  <si>
    <t>Jl. Pinus III no.2, Komp Bumi Adipura</t>
  </si>
  <si>
    <t>rova.virgana@unpad.ac.id</t>
  </si>
  <si>
    <t>(022)87524962</t>
  </si>
  <si>
    <t>08122128992</t>
  </si>
  <si>
    <t>Komplek Suryasetra H-10 Jl. Terusan Sutami</t>
  </si>
  <si>
    <t>irawati.irfani@unpad.ac.id</t>
  </si>
  <si>
    <t>0811234297</t>
  </si>
  <si>
    <t>Jl. Citamiang No. 11A RT. 05 RW. 08 Kel. Sukamaju</t>
  </si>
  <si>
    <t>sofiati.dian@unpad.ac.id</t>
  </si>
  <si>
    <t>(022)7275149</t>
  </si>
  <si>
    <t>08122119519</t>
  </si>
  <si>
    <t>Griya Raya No. 22 Komp. Griya Mas</t>
  </si>
  <si>
    <t>mulyaritonga@gmail.com</t>
  </si>
  <si>
    <t>(022)2012994</t>
  </si>
  <si>
    <t>08122398963</t>
  </si>
  <si>
    <t>Jl. Suryalaya Baru No.6</t>
  </si>
  <si>
    <t>anggakartiwa@gmail.com</t>
  </si>
  <si>
    <t>(022)87301952</t>
  </si>
  <si>
    <t>0811248818</t>
  </si>
  <si>
    <t>Jl. Batununggal Abadi Raya No. 8 RT/RW 2/5</t>
  </si>
  <si>
    <t>farid.yudoyono@unpad.ac.id</t>
  </si>
  <si>
    <t>(022)2041694</t>
  </si>
  <si>
    <t>081214703730</t>
  </si>
  <si>
    <t>Jl Babakan jeruk IV no 23</t>
  </si>
  <si>
    <t>novina@unpad.ac.id</t>
  </si>
  <si>
    <t>(022)2001023</t>
  </si>
  <si>
    <t>08122009757</t>
  </si>
  <si>
    <t>Jl. Cisitu Indah VI Kp. Padi No. G20</t>
  </si>
  <si>
    <t>reza.widianto.sudjud@unpad.ac.id</t>
  </si>
  <si>
    <t>(022)2517649</t>
  </si>
  <si>
    <t>08164210949</t>
  </si>
  <si>
    <t>Jl. Karang Arum No. 71 /181 A</t>
  </si>
  <si>
    <t>dini.saraswati.handayani@unpad.ac.id</t>
  </si>
  <si>
    <t>(022)2030607</t>
  </si>
  <si>
    <t>0811217204</t>
  </si>
  <si>
    <t>komp. permata tamansari I no. 18</t>
  </si>
  <si>
    <t>hesti.lina@unpad.ac.id</t>
  </si>
  <si>
    <t>087821457103</t>
  </si>
  <si>
    <t>Giri Sari No. 12 Simpay Asih RT 04/04 Kel. Pasir Endah</t>
  </si>
  <si>
    <t>f.rinawan@unpad.ac.id</t>
  </si>
  <si>
    <t>(022)7806005</t>
  </si>
  <si>
    <t>081221313127</t>
  </si>
  <si>
    <t>Jl. Bungursari VIII No. 5</t>
  </si>
  <si>
    <t>yuni.susanti.pratiwi@unpad.ac.id</t>
  </si>
  <si>
    <t>(022)7204740</t>
  </si>
  <si>
    <t>081214280080</t>
  </si>
  <si>
    <t>Gegerkalong Girang Baru D18 RT 01/06 Kel. Isola</t>
  </si>
  <si>
    <t>nova.sylviana@unpad.ac.id</t>
  </si>
  <si>
    <t>(022)2006706</t>
  </si>
  <si>
    <t>085860678320</t>
  </si>
  <si>
    <t>Jl. Taman Sakura No 43 Komplek Taman Sakura</t>
  </si>
  <si>
    <t>gita@unpad.ac.id</t>
  </si>
  <si>
    <t>08122115957</t>
  </si>
  <si>
    <t>Jl. Cilengkrang I no.61 RT 01/ RW 03 Cisurupan Cibiru</t>
  </si>
  <si>
    <t>v.yunivita@unpad.ac.id</t>
  </si>
  <si>
    <t>(022)87881402</t>
  </si>
  <si>
    <t>0811237532</t>
  </si>
  <si>
    <t>Jl. Mekarwangi 7 Kebon Lega</t>
  </si>
  <si>
    <t>andriprim@gmail.com</t>
  </si>
  <si>
    <t>(022)5226712</t>
  </si>
  <si>
    <t>081214446680</t>
  </si>
  <si>
    <t>Cibolerang no 10</t>
  </si>
  <si>
    <t>hanna@unpad.ac.id</t>
  </si>
  <si>
    <t>(022)20567984</t>
  </si>
  <si>
    <t>Jl. Setiabudi No. 20 RT. 010/003 Hegarmanah Bandung</t>
  </si>
  <si>
    <t>lidya.chaidir@unpad.ac.id</t>
  </si>
  <si>
    <t>(022)2044128</t>
  </si>
  <si>
    <t>081320005464</t>
  </si>
  <si>
    <t>Jl. Muaratakus I No. P-67 RT. 005/018 Melong</t>
  </si>
  <si>
    <t>nur.melani@unpad.ac.id</t>
  </si>
  <si>
    <t>(022)6037810</t>
  </si>
  <si>
    <t>08122078824</t>
  </si>
  <si>
    <t>Jl. Matraman No. 16 RT. 01/06</t>
  </si>
  <si>
    <t>windi@unpad.ac.id</t>
  </si>
  <si>
    <t>(022)87352094</t>
  </si>
  <si>
    <t>081322022202</t>
  </si>
  <si>
    <t>Komp Gumil TNI AD No. H- 44 RT 03 RW 04</t>
  </si>
  <si>
    <t>silvita.fitri@unpad.ac.id</t>
  </si>
  <si>
    <t>(022)6651554</t>
  </si>
  <si>
    <t>08122195580</t>
  </si>
  <si>
    <t>Jl. Warta No. 9 Cibangkong</t>
  </si>
  <si>
    <t>novi.vicahyani@unpad.ac.id</t>
  </si>
  <si>
    <t>(022)7301653</t>
  </si>
  <si>
    <t>08122122979</t>
  </si>
  <si>
    <t>Jl. Gunung Batu Lama Kel. Pasirkalili</t>
  </si>
  <si>
    <t>a.berbudi@unpad.ac.id</t>
  </si>
  <si>
    <t>082297033616</t>
  </si>
  <si>
    <t>Jl. Kresna No. 20</t>
  </si>
  <si>
    <t>adhi.kristianto@unpad.ac.id</t>
  </si>
  <si>
    <t>08122145542</t>
  </si>
  <si>
    <t>Kawaluyaan Regency A18 Jl. Kawaluyaan Soekarno-Hatta</t>
  </si>
  <si>
    <t>adre_avry@yahoo.com</t>
  </si>
  <si>
    <t>081280956865</t>
  </si>
  <si>
    <t>Jl. Sekeloa No. 111/152C RT. 02/05 Skeloa</t>
  </si>
  <si>
    <t>pati.aji.achdiat@unpad.ac.id</t>
  </si>
  <si>
    <t>(022)2510921</t>
  </si>
  <si>
    <t>081322750101</t>
  </si>
  <si>
    <t>Jl. Cigadung Raya Tengah No. 16 RT. 01/06 Cigadung</t>
  </si>
  <si>
    <t>k.i.mantilidewi@unpad.ac.id</t>
  </si>
  <si>
    <t>(022)2503434</t>
  </si>
  <si>
    <t>0811230539</t>
  </si>
  <si>
    <t>Grand Sharon Residence Jl Plumeria IV No 26</t>
  </si>
  <si>
    <t>tyagita.hartady@gmail.com</t>
  </si>
  <si>
    <t>082217466684</t>
  </si>
  <si>
    <t>Jl. Cipedes Dalam I No. 3</t>
  </si>
  <si>
    <t>renaldi.prasetia@gmail.com</t>
  </si>
  <si>
    <t>08112271951</t>
  </si>
  <si>
    <t>Kp. Ciherang Jl. Yumaga No.05 RT/RW: 001/001</t>
  </si>
  <si>
    <t>wulan.mayasari@unpad.ac.id</t>
  </si>
  <si>
    <t>08562221984</t>
  </si>
  <si>
    <t>Cijerah II Blok V No 2</t>
  </si>
  <si>
    <t>fathul@unpad.ac.id</t>
  </si>
  <si>
    <t>(022)6650622</t>
  </si>
  <si>
    <t>08122057264</t>
  </si>
  <si>
    <t>Kampung Cibaligo Kavling D, RT005 RW002</t>
  </si>
  <si>
    <t>fuji@unpad.ac.id</t>
  </si>
  <si>
    <t>081316099791</t>
  </si>
  <si>
    <t>Jalan Antapani 3 No 11 , RT 03/05 , Antapani Kidul, Antapani, Bandung , 40291</t>
  </si>
  <si>
    <t>sujatmiko@unpad.ac.id</t>
  </si>
  <si>
    <t>(022)7207730</t>
  </si>
  <si>
    <t>08112205550</t>
  </si>
  <si>
    <t>Gunungsari Indah Blok F no. 15 Surabaya</t>
  </si>
  <si>
    <t>sarasati.windria@unpad.ac.id</t>
  </si>
  <si>
    <t>085655347945</t>
  </si>
  <si>
    <t>Jl Terusan Cigadung Timur No 16</t>
  </si>
  <si>
    <t>dr.st.nurf@gmail.com</t>
  </si>
  <si>
    <t>(022)2508836</t>
  </si>
  <si>
    <t>081573300303</t>
  </si>
  <si>
    <t>Jl. Tripang 28 Buah Batu Bandung</t>
  </si>
  <si>
    <t>fifiveronica2002@yahoo.com</t>
  </si>
  <si>
    <t>(022)7302018</t>
  </si>
  <si>
    <t>087821884695</t>
  </si>
  <si>
    <t>Jl. Setra Indah No.10 Kel. Sukagalih Rt.4/3</t>
  </si>
  <si>
    <t>arhans.chairul.ismael@unpad.ac.id</t>
  </si>
  <si>
    <t>(022)70714454</t>
  </si>
  <si>
    <t>0811209634</t>
  </si>
  <si>
    <t>08128686197</t>
  </si>
  <si>
    <t>Komp. Teratai Indah No. 4 Cibaduyut</t>
  </si>
  <si>
    <t>lulu.eva.rakhmilla@unpad.ac.id</t>
  </si>
  <si>
    <t>08122022042/081214046123</t>
  </si>
  <si>
    <t>Taman Cibaduyut Indah Blok G No 25</t>
  </si>
  <si>
    <t>nita.novita@unpad.ac.id</t>
  </si>
  <si>
    <t>(022)5409932</t>
  </si>
  <si>
    <t>081394691977</t>
  </si>
  <si>
    <t>Villa Bandung Indah A6 No. 8</t>
  </si>
  <si>
    <t>insi.farisa@unpad.ac.id</t>
  </si>
  <si>
    <t>(022)2007170</t>
  </si>
  <si>
    <t>08122320039</t>
  </si>
  <si>
    <t>Ice Skating H XIII No.20</t>
  </si>
  <si>
    <t>sally.mahdiani@unpad.ac.id</t>
  </si>
  <si>
    <t>081220024003</t>
  </si>
  <si>
    <t>Dsn. Sayang Rt 02 Rw 06</t>
  </si>
  <si>
    <t>dwi.wahyudha@unpad.ac.id</t>
  </si>
  <si>
    <t>081374656177</t>
  </si>
  <si>
    <t>Jl. Setramurni No. 31</t>
  </si>
  <si>
    <t>ginnamegawati@gmail.com/ginna@unpad.ac.id</t>
  </si>
  <si>
    <t>(022)2012388</t>
  </si>
  <si>
    <t>081312349351</t>
  </si>
  <si>
    <t>Komp. Giri Mande B7/18 Karang Pamulang</t>
  </si>
  <si>
    <t>lisda@unpad.ac.id</t>
  </si>
  <si>
    <t>081320707592</t>
  </si>
  <si>
    <t>Jl. Sosiologi No.1 RT.1/7</t>
  </si>
  <si>
    <t>rudolf.andean@gmail.com</t>
  </si>
  <si>
    <t>(022)2501189</t>
  </si>
  <si>
    <t>08112003007</t>
  </si>
  <si>
    <t>Cigadung Pesantren Komplek Permata no. 2 RT 006/004</t>
  </si>
  <si>
    <t>dian.marta@unpad.ac.id</t>
  </si>
  <si>
    <t>081221812279</t>
  </si>
  <si>
    <t>Lika Apriani, dr., M.Sc., Ph.D</t>
  </si>
  <si>
    <t>Komplek Bandung Indah Raya Blok C7 No 1 RT 05 RW 01</t>
  </si>
  <si>
    <t>lika.apriani@unpad.ac.id</t>
  </si>
  <si>
    <t>(022)7536233</t>
  </si>
  <si>
    <t>085861133544</t>
  </si>
  <si>
    <t>Leuwipanjang Gg. Sarpai 2 No.5</t>
  </si>
  <si>
    <t>adi.imam@unpad.ac.id</t>
  </si>
  <si>
    <t>08157005856</t>
  </si>
  <si>
    <t>Jl. Permai 32 blok MC 2 no. 15 rt.002 rw.009</t>
  </si>
  <si>
    <t>titing.nurhayati@unpad.ac.id</t>
  </si>
  <si>
    <t>085222221149</t>
  </si>
  <si>
    <t>Jl. Sirnamanah No. 3 Pasteur</t>
  </si>
  <si>
    <t>viramitha.kusnandi@unpad.ac.id</t>
  </si>
  <si>
    <t>(022)2042139</t>
  </si>
  <si>
    <t>082129159149</t>
  </si>
  <si>
    <t>Wartawan II No. II Kel. Turangga</t>
  </si>
  <si>
    <t>putri@unpad.ac.id</t>
  </si>
  <si>
    <t>08156072027</t>
  </si>
  <si>
    <t>Komp. Bumi Panyileukan F3/32</t>
  </si>
  <si>
    <t>k.wahyudi@unpad.ac.id</t>
  </si>
  <si>
    <t>(022)87820469</t>
  </si>
  <si>
    <t>081320647897</t>
  </si>
  <si>
    <t>jl. dr. junjunan dalam 2 no. 33 RT 008 RW 003</t>
  </si>
  <si>
    <t>septrina.rani@gmail.com</t>
  </si>
  <si>
    <t>08122185542</t>
  </si>
  <si>
    <t>Jl. Sari Indah II No. 3 Babakan Sari RT. 008/012</t>
  </si>
  <si>
    <t>putie.hapsari@unpad.ac.id</t>
  </si>
  <si>
    <t>(022)7235641</t>
  </si>
  <si>
    <t>0811237961</t>
  </si>
  <si>
    <t>Dr. Mohammad Iqbal, dr., Sp.JP., M.Kes.</t>
  </si>
  <si>
    <t>Jl. Pelesiran, Komplek Taman Pelesiran No. 28 Cihampelas Bandung</t>
  </si>
  <si>
    <t>mohammad.iqbal@unpad.ac.id</t>
  </si>
  <si>
    <t>(021)8195549</t>
  </si>
  <si>
    <t>081310114128</t>
  </si>
  <si>
    <t>KP SUKA MAJU RT 002 / RW 004</t>
  </si>
  <si>
    <t>iyus@unpad.ac.id</t>
  </si>
  <si>
    <t>(022)64360789</t>
  </si>
  <si>
    <t>081321788880</t>
  </si>
  <si>
    <t>Jl. Parakan Arum No. 19 RT. 001/002 Batununggal</t>
  </si>
  <si>
    <t>annisaisfandiary@gmail.com</t>
  </si>
  <si>
    <t>(022)7512637</t>
  </si>
  <si>
    <t>081321676915</t>
  </si>
  <si>
    <t>Jl. Terusan Jakarta No. 112 L</t>
  </si>
  <si>
    <t>rusti_sari@yahoo.com</t>
  </si>
  <si>
    <t>08118201499</t>
  </si>
  <si>
    <t>Komplek Setraduta L-3 No. 10 RT. 003/001 Ciwaruga</t>
  </si>
  <si>
    <t>vita.indriasari@unpad.ac.id</t>
  </si>
  <si>
    <t>(022)2009301</t>
  </si>
  <si>
    <t>0811205650</t>
  </si>
  <si>
    <t>Komplek Matra Persada No.17 Gunung Batu</t>
  </si>
  <si>
    <t>dimas.erlangga@unpad.ac.id</t>
  </si>
  <si>
    <t>(022)2011951</t>
  </si>
  <si>
    <t>082119131351</t>
  </si>
  <si>
    <t>Gg. Pasantren Timur 2 Kav. 2 RT. 02/06 Cigadung</t>
  </si>
  <si>
    <t>gita.widya.pradini@unpad.ac.id</t>
  </si>
  <si>
    <t>Margahayu raya Blok H2 No.44 RT.004/010</t>
  </si>
  <si>
    <t>lukman.hilfi@unpad.ac.id</t>
  </si>
  <si>
    <t>(022)7568675</t>
  </si>
  <si>
    <t>081220902401</t>
  </si>
  <si>
    <t>Jl. Kembar Mas IV no. 7, Bandung</t>
  </si>
  <si>
    <t>miftah.pramudyo@gmail.com</t>
  </si>
  <si>
    <t>(022)5209407</t>
  </si>
  <si>
    <t>081320413064</t>
  </si>
  <si>
    <t>Kp Warung Waru</t>
  </si>
  <si>
    <t>seaisland85@yahoo.com</t>
  </si>
  <si>
    <t>081252587971</t>
  </si>
  <si>
    <t>Jl. Awi Gombong No. 5</t>
  </si>
  <si>
    <t>sani.tanzilah@unpad.ac.id</t>
  </si>
  <si>
    <t>08997936416</t>
  </si>
  <si>
    <t>Jl. Dr. Wahidin S Gg. Sylva Jaya no.6</t>
  </si>
  <si>
    <t>nandina.oktavia@unpad.ac.id</t>
  </si>
  <si>
    <t>085245072257</t>
  </si>
  <si>
    <t>Jl. Taman Hewan No. 184/56 RT02 RW08</t>
  </si>
  <si>
    <t>bayu.wilopo@fk.unpad.ac.id</t>
  </si>
  <si>
    <t>081802087490</t>
  </si>
  <si>
    <t>Jl. Taman Cibunut Selatan No. 15. RT. 004/003 Kebon Pisang</t>
  </si>
  <si>
    <t>almira.zd@gmail.com</t>
  </si>
  <si>
    <t>(022)4264242</t>
  </si>
  <si>
    <t>082112648331</t>
  </si>
  <si>
    <t>Jl Airlangga 1 No 22 Rt 4 RW 6 Kedung Jaya</t>
  </si>
  <si>
    <t>okta.wismandanu@unpad.ac.id</t>
  </si>
  <si>
    <t>081327043485</t>
  </si>
  <si>
    <t>Komplek Griya Mitra Posindo Blok B2 No 8</t>
  </si>
  <si>
    <t>dani.ferdian@unpad.ac.id</t>
  </si>
  <si>
    <t>081802296583</t>
  </si>
  <si>
    <t>Jl. Griya Permai Barat Blok C-260 RT. 04/13</t>
  </si>
  <si>
    <t>amrosdianto@gmail.com</t>
  </si>
  <si>
    <t>081802054501</t>
  </si>
  <si>
    <t>Adi Santoso Maliki, dr.,Sp.And.</t>
  </si>
  <si>
    <t>Jl. Sukanegara No. 36 Antapani Kidul</t>
  </si>
  <si>
    <t>adi.santosa.maliki@unpad.ac.id</t>
  </si>
  <si>
    <t>(022)7200340</t>
  </si>
  <si>
    <t>0816979476</t>
  </si>
  <si>
    <t>Bilzardy Ferry Zulkifli, dr., Sp.BS., M.Kes</t>
  </si>
  <si>
    <t>Jl. Pemuda TBS Blok A I No 2</t>
  </si>
  <si>
    <t>billy_bfz@yahoo.com</t>
  </si>
  <si>
    <t>081295311977</t>
  </si>
  <si>
    <t>Jl. Sulanjana 11</t>
  </si>
  <si>
    <t>panji.fortuna@unpad.ac.id</t>
  </si>
  <si>
    <t>(022)4217146</t>
  </si>
  <si>
    <t>085720200265</t>
  </si>
  <si>
    <t>Jl. Mega Warna No. 3A</t>
  </si>
  <si>
    <t>siska@unpad.ac.id</t>
  </si>
  <si>
    <t>(022)6076594</t>
  </si>
  <si>
    <t>087822070430</t>
  </si>
  <si>
    <t>Jalan Jurang No.31 RT 03/RW 05</t>
  </si>
  <si>
    <t>hello.it.is.julia@gmail.com</t>
  </si>
  <si>
    <t>081380889919</t>
  </si>
  <si>
    <t>Leuwipanjang Gg.Sarpai II No.5</t>
  </si>
  <si>
    <t>helni.mariani@unpad.ac.id</t>
  </si>
  <si>
    <t>083821820000</t>
  </si>
  <si>
    <t>Jl. Kemuning I/409 Ngringin, RT004 RW022, Perumnas Condong Catur</t>
  </si>
  <si>
    <t>a.achmad@unpad.ac.id</t>
  </si>
  <si>
    <t>08174510323</t>
  </si>
  <si>
    <t>08122110599</t>
  </si>
  <si>
    <t>Komplek Palem Permai 1B RT.002 RW.007</t>
  </si>
  <si>
    <t>rinibutaniku@gmail.com</t>
  </si>
  <si>
    <t>(022)87352867</t>
  </si>
  <si>
    <t>081254180888</t>
  </si>
  <si>
    <t>Istana Regenci I Kav. C2-IA Pajajaran</t>
  </si>
  <si>
    <t>marhendra@unpad.ac.id</t>
  </si>
  <si>
    <t>(022)6072929</t>
  </si>
  <si>
    <t>082118114990</t>
  </si>
  <si>
    <t>Jl. Srigading No.25 RT 05/RW 04</t>
  </si>
  <si>
    <t>amed_agil@yahoo.com; amedagil@gmail.com</t>
  </si>
  <si>
    <t>0817709395</t>
  </si>
  <si>
    <t>Jl. Wangsa Setra Kulon No. 15 KBP RT. 001/008</t>
  </si>
  <si>
    <t>filla.reviyani@unpad.ac.id</t>
  </si>
  <si>
    <t>082240995882</t>
  </si>
  <si>
    <t>Jl. Sukaaman 1 no 3 Awibitung</t>
  </si>
  <si>
    <t>mulya@unpad.ac.id</t>
  </si>
  <si>
    <t>08562189345</t>
  </si>
  <si>
    <t>Sindangwargi 02/22</t>
  </si>
  <si>
    <t>deta.tanuwidjaja@gmail.com</t>
  </si>
  <si>
    <t>083820186876</t>
  </si>
  <si>
    <t>Jl. Linggawastu No. 156/25 RT. 01/16 Taman Sari</t>
  </si>
  <si>
    <t>intanmauli@yahoo.com</t>
  </si>
  <si>
    <t>082217488401</t>
  </si>
  <si>
    <t>Jalan Kuningan 5 No 32</t>
  </si>
  <si>
    <t>putri.halleyana@unpad.ac.id</t>
  </si>
  <si>
    <t>087825344816</t>
  </si>
  <si>
    <t>Jalan Cijagra I A No. 12</t>
  </si>
  <si>
    <t>indah.amelia@unpad.ac.id</t>
  </si>
  <si>
    <t>081320011480</t>
  </si>
  <si>
    <t>Jl. KH. A. Sanusi Gg. Cemara No. 39 rt 49 rw 21 ciseureuh</t>
  </si>
  <si>
    <t>ita.krissanti@unpad.ac.id</t>
  </si>
  <si>
    <t>(022)66210387</t>
  </si>
  <si>
    <t>082111125105</t>
  </si>
  <si>
    <t>Jl. Pasar Utara No. 16 Kebon Jeruk</t>
  </si>
  <si>
    <t>achmad.adhipatria.p.k@unpad.ac.id</t>
  </si>
  <si>
    <t>(022)24205632</t>
  </si>
  <si>
    <t>8172332007</t>
  </si>
  <si>
    <t>Komp. Griya Jl. Tubagus Ismail VIII Atas No. 8 RT. 003/010</t>
  </si>
  <si>
    <t>rendy.ariezal.efendi@gmail.com</t>
  </si>
  <si>
    <t>(022)2511136</t>
  </si>
  <si>
    <t>Jl. Sriwulan No. 27 RT. 006/006</t>
  </si>
  <si>
    <t>yunisa.pamela@unpad.ac.id</t>
  </si>
  <si>
    <t>(022)5222293</t>
  </si>
  <si>
    <t>08156282707</t>
  </si>
  <si>
    <t>Jl. Sadangsari No 8 RT 10 RW 14</t>
  </si>
  <si>
    <t>nisa@unpad.ac.id</t>
  </si>
  <si>
    <t>085221734412</t>
  </si>
  <si>
    <t>Jl. Pingpong LK V Timbang Langkat</t>
  </si>
  <si>
    <t>raja.iqbal@unpad.ac.id</t>
  </si>
  <si>
    <t>0821207669614</t>
  </si>
  <si>
    <t>Jl. Zakaria No.29 Rt 05/12</t>
  </si>
  <si>
    <t>trianing.tyas@unpad.ac.id</t>
  </si>
  <si>
    <t>081282825125</t>
  </si>
  <si>
    <t>Perumahan Sorosutan Indah Gg. Melinjo 5 Sorosutan</t>
  </si>
  <si>
    <t>Jl. Terjun Tandom No.26</t>
  </si>
  <si>
    <t>rima.destya@unpad.ac.id</t>
  </si>
  <si>
    <t>081222259039</t>
  </si>
  <si>
    <t>Jl. Abiyasa Raya No.5 RT. 005/016</t>
  </si>
  <si>
    <t>andihiroyuki@gmail.com</t>
  </si>
  <si>
    <t>(022)518360632</t>
  </si>
  <si>
    <t>08111473109</t>
  </si>
  <si>
    <t>Jl. Tgh Umar No. 32 Kelayu Utara RT. 001/001</t>
  </si>
  <si>
    <t>khairanishafia@gmail.com</t>
  </si>
  <si>
    <t>081997779080</t>
  </si>
  <si>
    <t>Jl. Lodaya</t>
  </si>
  <si>
    <t>septiyani_888@yahoo.com</t>
  </si>
  <si>
    <t>085799353408</t>
  </si>
  <si>
    <t>Jl. Ciheulang Baru No. 1 RT. 006/005, Coblong</t>
  </si>
  <si>
    <t>dsmadina@gmail.com</t>
  </si>
  <si>
    <t>r.rowawi@unpad.ac.id</t>
  </si>
  <si>
    <t>Jl. Sidomukti No. 45</t>
  </si>
  <si>
    <t>budi.handono@unpad.ac.id</t>
  </si>
  <si>
    <t>(022)2507367</t>
  </si>
  <si>
    <t>08164865380</t>
  </si>
  <si>
    <t>Komplek Taman Raflesia Blok B No. 8 RT. 001 RW. 014</t>
  </si>
  <si>
    <t>ruswana.anwar@unpad.ac.id</t>
  </si>
  <si>
    <t>0811221414</t>
  </si>
  <si>
    <t>s.endah@unpad.ac.id</t>
  </si>
  <si>
    <t>Buah baru regency Blok G 2/16</t>
  </si>
  <si>
    <t>dzulfikar.hakim@unpad.ac.id</t>
  </si>
  <si>
    <t>anggraini.alam@unpad.ac.id</t>
  </si>
  <si>
    <t>Komp. Abadi Regency Kav. 35 RT 005/006</t>
  </si>
  <si>
    <t>irma.ruslina@unpad.ac.id</t>
  </si>
  <si>
    <t>081316908139</t>
  </si>
  <si>
    <t>karmelita.satari@unpad.ac.id</t>
  </si>
  <si>
    <t>SARIJADI BLOK 23 NO. 1 RT. 003 RW. 002</t>
  </si>
  <si>
    <t>anam@unpad.ac.id</t>
  </si>
  <si>
    <t>Jl. Karangtinggal No.34 Rt.007/Rw.003</t>
  </si>
  <si>
    <t>tjahjodjati@unpad.ac.id</t>
  </si>
  <si>
    <t>08161866048</t>
  </si>
  <si>
    <t>Jl. Gegerkalong Tonggoh V no 3 Bandung</t>
  </si>
  <si>
    <t>ria.bandiara@unpad.ac.id</t>
  </si>
  <si>
    <t>(022)2011431</t>
  </si>
  <si>
    <t>08122328617</t>
  </si>
  <si>
    <t>Jl. Arcamanik Endah B18/ 104</t>
  </si>
  <si>
    <t>bdo_ek@yahoo.com</t>
  </si>
  <si>
    <t>0811206043</t>
  </si>
  <si>
    <t>Komp. Fajar Raya Estate Blok A2 No. 4</t>
  </si>
  <si>
    <t>ali.budi@unpad.ac.id</t>
  </si>
  <si>
    <t>(022)6653181</t>
  </si>
  <si>
    <t>081320609226</t>
  </si>
  <si>
    <t>Jl. Gumuruh No. 37/113</t>
  </si>
  <si>
    <t>susi.susanah@unpad.ac.id</t>
  </si>
  <si>
    <t>(022)7310770</t>
  </si>
  <si>
    <t>082117209388</t>
  </si>
  <si>
    <t>Jl.Setra Indah Utara II No.10 Rt.07 Rw.03</t>
  </si>
  <si>
    <t>budiman.spm@unpad.ac.id</t>
  </si>
  <si>
    <t>0811249062</t>
  </si>
  <si>
    <t>feti@unpad.ac.id</t>
  </si>
  <si>
    <t>Komp. Parahyangan Permai Kav. 1 Rt.001 Rw.008</t>
  </si>
  <si>
    <t>aysoeroto@yahoo.com</t>
  </si>
  <si>
    <t>(022)2008876</t>
  </si>
  <si>
    <t>0811246930</t>
  </si>
  <si>
    <t>Komp. Cimindi Raya Blok Y-11</t>
  </si>
  <si>
    <t>r.hindritiani@unpad.ac.id</t>
  </si>
  <si>
    <t>0811227283</t>
  </si>
  <si>
    <t>Jl. Cihanjuang Km 5,3 -Kampus Tiranus. Desa Lembur Panjang, Kec. , Kab. Bandung Barat.</t>
  </si>
  <si>
    <t>veranita@unpad.ac.id</t>
  </si>
  <si>
    <t>081320445415</t>
  </si>
  <si>
    <t>dicky.mulyadi@unpad.ac.id</t>
  </si>
  <si>
    <t>Jl. Sulanjana No.11 A Rt.001 Rw.003</t>
  </si>
  <si>
    <t>b.alisjahbana@unpad.ac.id</t>
  </si>
  <si>
    <t>0817611099</t>
  </si>
  <si>
    <t>Jl.Raflesia A-15 Mitra Dago Parahyangan</t>
  </si>
  <si>
    <t>hadi.susiarno@unpad.ac.id</t>
  </si>
  <si>
    <t>(022)7101949</t>
  </si>
  <si>
    <t>08122346370</t>
  </si>
  <si>
    <t>JL&gt; Adipati Kertabumi No. 5 RT.01 RW.04</t>
  </si>
  <si>
    <t>ferry08006@student.unpad.ac.id/Safriadif@yahoo.com</t>
  </si>
  <si>
    <t>(022)4237104</t>
  </si>
  <si>
    <t>0811200335</t>
  </si>
  <si>
    <t>Jl. Parasitologi no. 22 Bandung</t>
  </si>
  <si>
    <t>gatot.winarno@unpad.ac.id</t>
  </si>
  <si>
    <t>(022)2501377</t>
  </si>
  <si>
    <t>08122024886</t>
  </si>
  <si>
    <t>Jl. Prof. DR. Ir. Sutami No. 85</t>
  </si>
  <si>
    <t>amaylia@unpad.ac.id</t>
  </si>
  <si>
    <t>(022)2013205</t>
  </si>
  <si>
    <t>08122354883</t>
  </si>
  <si>
    <t>Jl. DR. Susilo No. 6 Bandung</t>
  </si>
  <si>
    <t>dewikt2006@yahoo.co.id</t>
  </si>
  <si>
    <t>Jl.Guntursari Wetan I No.10 Bandung</t>
  </si>
  <si>
    <t>akhmad.imron@unpad.ac.id</t>
  </si>
  <si>
    <t>Jl. Griya Utara No. 26RT.005/006</t>
  </si>
  <si>
    <t>melati.sudiro@unpad.ac.id</t>
  </si>
  <si>
    <t>08112212745</t>
  </si>
  <si>
    <t>Jl. Muararajeun No. 27 RT. 05 RW. 11</t>
  </si>
  <si>
    <t>ahmad.rizal@unpad.ac.id</t>
  </si>
  <si>
    <t>(022)7274963</t>
  </si>
  <si>
    <t>087822883773</t>
  </si>
  <si>
    <t>Jl.Kembar VI No.12 Rt.006 Rw.008</t>
  </si>
  <si>
    <t>rudi.wisaksana@unpad.ac.id</t>
  </si>
  <si>
    <t>81910563062</t>
  </si>
  <si>
    <t>Jl. Sukajadi no.152 Bandung</t>
  </si>
  <si>
    <t>rizkar@bdg.centrin.net.id</t>
  </si>
  <si>
    <t>0818428180</t>
  </si>
  <si>
    <t>Jl. Bukit Dago Utara II No. 33 Rt. 004 Rw. 003</t>
  </si>
  <si>
    <t>sonny.sasotya</t>
  </si>
  <si>
    <t>0811245066</t>
  </si>
  <si>
    <t>Jl.Alam Nirwana Komp.Resor Dago Pakar No. 23</t>
  </si>
  <si>
    <t>lina.lasminingrum@unpad.ac.id</t>
  </si>
  <si>
    <t>Jl. Pagarsih No. 90/89 Bandung</t>
  </si>
  <si>
    <t>delitapri@yahoo.com</t>
  </si>
  <si>
    <t>08122314089</t>
  </si>
  <si>
    <t>Perumahan Kampung Padi Dago Blok D No. 6 Jl. Cisitu Indah VI RT. 06/04</t>
  </si>
  <si>
    <t>ly_hasibuan@yahoo.com</t>
  </si>
  <si>
    <t>(022)7278353</t>
  </si>
  <si>
    <t>0818602081</t>
  </si>
  <si>
    <t>elsa.gustianty@unpad.ac.id</t>
  </si>
  <si>
    <t>afiatin@unpad.ac.id</t>
  </si>
  <si>
    <t>Jl. Merah Delima I No. 1 Rt. 002 Rw. 006</t>
  </si>
  <si>
    <t>setyorini.irianti@unpad.ac.id</t>
  </si>
  <si>
    <t>Jl. Gunung Mas B8 Ciumbuleuit</t>
  </si>
  <si>
    <t>chaerula2000@yahoo.com</t>
  </si>
  <si>
    <t>082218071997</t>
  </si>
  <si>
    <t>Kopo Permai Blok 52 A</t>
  </si>
  <si>
    <t>erwin.pradian@unpad.ac.id</t>
  </si>
  <si>
    <t>081320360511</t>
  </si>
  <si>
    <t>laniyati.hamijoyo@unpad.ac.id</t>
  </si>
  <si>
    <t>Jl. Pangkur V no. 1 Bandung</t>
  </si>
  <si>
    <t>eppy.darmadi@unpad.ac.id</t>
  </si>
  <si>
    <t>0811227584</t>
  </si>
  <si>
    <t>Jl. Tambak Matraman Jaya No. 28</t>
  </si>
  <si>
    <t>h.gunawan2016@unpad.ac.id</t>
  </si>
  <si>
    <t>081221111215</t>
  </si>
  <si>
    <t>Jl. Progo No. 32</t>
  </si>
  <si>
    <t>sinta.sari@unpad.ac.id</t>
  </si>
  <si>
    <t>08122013576</t>
  </si>
  <si>
    <t>Jl. Suryalaya Barat No. 9</t>
  </si>
  <si>
    <t>a.pribadi@unpad.ac.id</t>
  </si>
  <si>
    <t>(022)7309948</t>
  </si>
  <si>
    <t>085221186876</t>
  </si>
  <si>
    <t>Jl. Arcamanik Sindang Laya No 61 A Rt 002 Rw 010</t>
  </si>
  <si>
    <t>sumartini.dewi@unpad.ac.id</t>
  </si>
  <si>
    <t>08122023810</t>
  </si>
  <si>
    <t>prayudi13001@student.unpad.ac.id</t>
  </si>
  <si>
    <t>Jl.Makmur No.16</t>
  </si>
  <si>
    <t>safendra12001@student.unpad.ac.id</t>
  </si>
  <si>
    <t>0811227180</t>
  </si>
  <si>
    <t>Jl. Titian Kencana No. 8</t>
  </si>
  <si>
    <t>dodi.suardi@unpad.ac.id</t>
  </si>
  <si>
    <t>(022)2500121</t>
  </si>
  <si>
    <t>08122120686</t>
  </si>
  <si>
    <t>Jl. Parakan Mas Timur I/9 Bdg</t>
  </si>
  <si>
    <t>tantobayuaji@gmail.com</t>
  </si>
  <si>
    <t>(022)873411453</t>
  </si>
  <si>
    <t>08122425161</t>
  </si>
  <si>
    <t>Jl. Mars Tengah No. 30</t>
  </si>
  <si>
    <t>anita12009@student.unpad.ac.id</t>
  </si>
  <si>
    <t>(022)7509556</t>
  </si>
  <si>
    <t>08122395883</t>
  </si>
  <si>
    <t>Mitra Dago, Parahiyangan C-6, RT. 003 RW. 011</t>
  </si>
  <si>
    <t>m.alamsyah@unpad.ac.id</t>
  </si>
  <si>
    <t>08122178711</t>
  </si>
  <si>
    <t>Komp.Casa De Esta A6</t>
  </si>
  <si>
    <t>ahmad13018@student.unpad.ac.id</t>
  </si>
  <si>
    <t>081322393605</t>
  </si>
  <si>
    <t>Jl. Tanjung Asri Utara No.15</t>
  </si>
  <si>
    <t>dini.pusianawati@unpad.ac.id</t>
  </si>
  <si>
    <t>(022)70775614</t>
  </si>
  <si>
    <t>0811225795</t>
  </si>
  <si>
    <t>antonia.kartika@unpad.ac.id</t>
  </si>
  <si>
    <t>Jl. Villa Dunia A 76 Gerlong Bdg</t>
  </si>
  <si>
    <t>hanom12001@student.unapd.ac.id</t>
  </si>
  <si>
    <t>0811189251</t>
  </si>
  <si>
    <t>Jl Sarikaso VII No 18</t>
  </si>
  <si>
    <t>a.b.sutiono@unpad.ac.id</t>
  </si>
  <si>
    <t>(022)2017201</t>
  </si>
  <si>
    <t>085100227641</t>
  </si>
  <si>
    <t>Jl. Garputala No. 1</t>
  </si>
  <si>
    <t>dian.tjahyadi@unpad.ac.id</t>
  </si>
  <si>
    <t>(022)7302601</t>
  </si>
  <si>
    <t>08122000498</t>
  </si>
  <si>
    <t>Jl. Kayu Manis V Baru No.13 Rt.09 Rw.04</t>
  </si>
  <si>
    <t>dr.salima@ymail.com</t>
  </si>
  <si>
    <t>0811223830</t>
  </si>
  <si>
    <t>rizki13016@student.unpad.ac.id</t>
  </si>
  <si>
    <t>JL. TANJUNGSARI ASRI UTARA 15</t>
  </si>
  <si>
    <t>indra.wijaya@unpad.ac.id</t>
  </si>
  <si>
    <t>Komplek Sukamenak Indah Blok F-46</t>
  </si>
  <si>
    <t>dini.hidayat@unpad.ac.id</t>
  </si>
  <si>
    <t>081320743665</t>
  </si>
  <si>
    <t>Jalan Manglit No. 47</t>
  </si>
  <si>
    <t>akhmad12006@student.unpad.ac.id</t>
  </si>
  <si>
    <t>(022)6036681</t>
  </si>
  <si>
    <t>0811208629</t>
  </si>
  <si>
    <t>Jl. Cigadung Asri IV Rt.02 Rw.03</t>
  </si>
  <si>
    <t>andikurniadi@yahoo.com</t>
  </si>
  <si>
    <t>08122301023</t>
  </si>
  <si>
    <t>Istana Pasteur Regency RT 005 RW 006</t>
  </si>
  <si>
    <t>tiksnadi_badai@yahoo.com</t>
  </si>
  <si>
    <t>08112237277</t>
  </si>
  <si>
    <t>Komplek Setra Duta L3 No.10</t>
  </si>
  <si>
    <t>riyadispa@gmail.com</t>
  </si>
  <si>
    <t>08122336245</t>
  </si>
  <si>
    <t>Jl.Suryalaya X No.1</t>
  </si>
  <si>
    <t>hawanisasmaya@gmail.com</t>
  </si>
  <si>
    <t>081324944213</t>
  </si>
  <si>
    <t>081321770341</t>
  </si>
  <si>
    <t>susanti.natalya@unpad.ac.id</t>
  </si>
  <si>
    <t>Permata Cimahi A4 No. 3</t>
  </si>
  <si>
    <t>lilik@unpad.ac.id</t>
  </si>
  <si>
    <t>08156200642</t>
  </si>
  <si>
    <t>Jl. Ligar Wangi 37</t>
  </si>
  <si>
    <t>doddy.tavianto@unpad.ac.id</t>
  </si>
  <si>
    <t>0811229636</t>
  </si>
  <si>
    <t>Jl. Muararajeun Baru III No. 6 RT 002 RW 010</t>
  </si>
  <si>
    <t>syarief_hidayat@hotmail.com</t>
  </si>
  <si>
    <t>082115415151</t>
  </si>
  <si>
    <t>JL. SULTAN AGUNG NO 12</t>
  </si>
  <si>
    <t>nushrotul.lailiyya@unpad.ac.id</t>
  </si>
  <si>
    <t>tisnasari.hafsah@unpad.ac.id</t>
  </si>
  <si>
    <t>Jl. Bukit Dago Utara II no. 33 Rt. 004 Rw. 003</t>
  </si>
  <si>
    <t>bm.dewayani@gmail.com</t>
  </si>
  <si>
    <t>08122158205</t>
  </si>
  <si>
    <t>yovita.hartantri@unpad.ac.id</t>
  </si>
  <si>
    <t>rahmat.kuswiyanto@unpad.ac.id</t>
  </si>
  <si>
    <t>rodman.tarigan@unpad.ac.id</t>
  </si>
  <si>
    <t>Jl. Kolenang No.4 Bandung</t>
  </si>
  <si>
    <t>Imel.dg@yahoo.com</t>
  </si>
  <si>
    <t>08122110709</t>
  </si>
  <si>
    <t>fiva.aprilia@unpad.ac.id</t>
  </si>
  <si>
    <t>Jalan parakan asri I No 5 Rt 02/02</t>
  </si>
  <si>
    <t>nur.suryawan@unpad.ac.id</t>
  </si>
  <si>
    <t>085268122071</t>
  </si>
  <si>
    <t>Kompleks Parahyangan Rumah Vila Kav.A31 Gerlong Hilir Bandung</t>
  </si>
  <si>
    <t>ricky.adriansjah@unpad.ac.id</t>
  </si>
  <si>
    <t>08112296136</t>
  </si>
  <si>
    <t>stanza.peryoga@unpad.ac.id</t>
  </si>
  <si>
    <t>jl Sukarajin I no. 10</t>
  </si>
  <si>
    <t>teddy.arnold.sihite@unpad.ac.id</t>
  </si>
  <si>
    <t>08122377157</t>
  </si>
  <si>
    <t>Jl. Golf Timur IV no. 4 RT 003/009</t>
  </si>
  <si>
    <t>novitri@unpad.ac.id</t>
  </si>
  <si>
    <t>08156005071</t>
  </si>
  <si>
    <t>Jl. Awibitung No. 59 Bandung</t>
  </si>
  <si>
    <t>dimmy.prasetya@unpad.ac.id</t>
  </si>
  <si>
    <t>nina.ratnaningsih@unpad.ac.id</t>
  </si>
  <si>
    <t>gartika.sapartini@unpad.ac.id</t>
  </si>
  <si>
    <t>Graha Nuansa Hijau Cidahu A-6 Rt.06 Rw.01</t>
  </si>
  <si>
    <t>nenny_agustanti@yahoo.com</t>
  </si>
  <si>
    <t>0858 6136 8696</t>
  </si>
  <si>
    <t>ardi.zulfariansyah@unpad.ac.id</t>
  </si>
  <si>
    <t>Komp. Surya Setra H-10 Jl. TRS. Sutami RT. 007/004</t>
  </si>
  <si>
    <t>kuncoro.adi@unpad.ac.id/kuncoro202@gmail.com</t>
  </si>
  <si>
    <t>08122004156</t>
  </si>
  <si>
    <t>roland.sidabutar@unpad.ac.id</t>
  </si>
  <si>
    <t>Jl. Sukaasih Raya No.230 Rt.01 Rw.06</t>
  </si>
  <si>
    <t>arnengsih@unpad.ac.id</t>
  </si>
  <si>
    <t>Jl. Cisitu Indah VI, Kampoeng Dago Residence I No. 17 RT 02/RW04</t>
  </si>
  <si>
    <t>mirna.sobana@unpad.ac.id</t>
  </si>
  <si>
    <t>Jl. Negla Utara no. 7 Rt. 005 Rw. 004</t>
  </si>
  <si>
    <t>Hasrayati@gmail.com</t>
  </si>
  <si>
    <t>08562003820</t>
  </si>
  <si>
    <t>yudith.setiati@unpad.ac.id</t>
  </si>
  <si>
    <t>Jl. Aceh No. 123</t>
  </si>
  <si>
    <t>ghuna.utoyo@gmail.com</t>
  </si>
  <si>
    <t>(022)4241059</t>
  </si>
  <si>
    <t>08572008553</t>
  </si>
  <si>
    <t>Jl. Babakan Ciamis No 86 /IB RT RT 03 RW 07</t>
  </si>
  <si>
    <t>hendarsyah.suryadinata@unpad.ac.id</t>
  </si>
  <si>
    <t>085324300240</t>
  </si>
  <si>
    <t>Setiabudi Regency Wing 2 Jl. Safir Biru 2/No. 269G</t>
  </si>
  <si>
    <t>jupiter.sibarani@unpad.ac.id/jupiter_sib@yahoo.com</t>
  </si>
  <si>
    <t>081321731096</t>
  </si>
  <si>
    <t>Jl. Wira Angun-angun No. 12 Bandung</t>
  </si>
  <si>
    <t>basti-dr@yahoo.co.id</t>
  </si>
  <si>
    <t>08121494933</t>
  </si>
  <si>
    <t>Jl.Cimanuk No.26 Rt.2 Rw.6</t>
  </si>
  <si>
    <t>dhany.budipratama@unpad.ac.id</t>
  </si>
  <si>
    <t>Jl. Reog VI No. 5</t>
  </si>
  <si>
    <t>andi.rinaldi@unpad.ac.id</t>
  </si>
  <si>
    <t>(022)7304571</t>
  </si>
  <si>
    <t>081221122114</t>
  </si>
  <si>
    <t>Jl. Merkuri Tengah No. 42 RT/RW 009/008</t>
  </si>
  <si>
    <t>naomi16@unpad.ac.id</t>
  </si>
  <si>
    <t>081320713815</t>
  </si>
  <si>
    <t>iwan.abdul@unpad.ac.id</t>
  </si>
  <si>
    <t>Jl. Edelweis Raya no.32, Kompleks Surapati Core Bandung 40192</t>
  </si>
  <si>
    <t>lazuardhi.dwipa@unpad.ac.id</t>
  </si>
  <si>
    <t>(022)87242707</t>
  </si>
  <si>
    <t>08112201047</t>
  </si>
  <si>
    <t>Jl. Batununggal Molek I/30 RT.008/001</t>
  </si>
  <si>
    <t>sawkar.vijay@unpad.ac.id/doktervj@yahoo.co.id</t>
  </si>
  <si>
    <t>0811248069</t>
  </si>
  <si>
    <t>mia.milanti@unpad.ac.id</t>
  </si>
  <si>
    <t>Komp. Permata Indah E No. 14 RT 002 RW 006</t>
  </si>
  <si>
    <t>t_indradewi@yahoo.co.id</t>
  </si>
  <si>
    <t>Jl.Suryalaya X No.1 Rt.08 Rw.04</t>
  </si>
  <si>
    <t>andy.prihartono@unpad.ac.id</t>
  </si>
  <si>
    <t>Jl. Babakan Sukajadi 16A</t>
  </si>
  <si>
    <t>primawita.amiruddin@unpad.ac.id</t>
  </si>
  <si>
    <t>081223457191</t>
  </si>
  <si>
    <t>Jl.Cipaganti Permai I No.2 Rt.01/03</t>
  </si>
  <si>
    <t>adityaikki@gmail.com</t>
  </si>
  <si>
    <t>08112293655</t>
  </si>
  <si>
    <t>Jl.Bukit Raya No.172</t>
  </si>
  <si>
    <t>fitri09012@student.unpad.ac.id</t>
  </si>
  <si>
    <t>Jl. Terusan Jakarta No.112 Rt.03 Rw.04</t>
  </si>
  <si>
    <t>af_kur@yahoo.com</t>
  </si>
  <si>
    <t>082120984530</t>
  </si>
  <si>
    <t>Jl. Maribaya No 54</t>
  </si>
  <si>
    <t>astriastuti@yahoo.com</t>
  </si>
  <si>
    <t>08112048585</t>
  </si>
  <si>
    <t>Jl. K.H. Hasan MustofaRt. 4 Rw. 1</t>
  </si>
  <si>
    <t>arifah.nur@unpad.ac.id</t>
  </si>
  <si>
    <t>08122103808</t>
  </si>
  <si>
    <t>Jl. Alfa No. 179 Bandung</t>
  </si>
  <si>
    <t>nidasuraya@yahoo.com</t>
  </si>
  <si>
    <t>0811224022</t>
  </si>
  <si>
    <t>Jl.Embang Artawijaya No.16 Rt.06/03</t>
  </si>
  <si>
    <t>gusriani62@yahoo.com</t>
  </si>
  <si>
    <t>08122009381</t>
  </si>
  <si>
    <t>Jl. Bukit Mas 1 No. A10 RT. 05 RW. 18</t>
  </si>
  <si>
    <t>tiene.rostini@unpad.ac.id</t>
  </si>
  <si>
    <t>08122150136/081222755505</t>
  </si>
  <si>
    <t>Dr. Dra. N. Elly Rosilawati, ApT., SpFN., MHKes., M.Farm.</t>
  </si>
  <si>
    <t>Lembah Permai Hanjuang Blok H-13</t>
  </si>
  <si>
    <t>ellyharahap@yahoo.com</t>
  </si>
  <si>
    <t>08122025498</t>
  </si>
  <si>
    <t>JL. SALENDRO TIMUR VI NO.10 RT.004 RW.010</t>
  </si>
  <si>
    <t>dikki.drajatkusmayadi@unpad.ac.id</t>
  </si>
  <si>
    <t>082130524364</t>
  </si>
  <si>
    <t>erwin.iskandar@unpad.ac.id</t>
  </si>
  <si>
    <t>Jl. Mandalawangi Blok A-37 RT 003/009</t>
  </si>
  <si>
    <t>tertianto.prabowo@unpad.ac.id</t>
  </si>
  <si>
    <t>08122147137</t>
  </si>
  <si>
    <t>GG. H. SUKARTA NO. 11</t>
  </si>
  <si>
    <t>sobaryati@unpad.ac.id</t>
  </si>
  <si>
    <t>Jl. Simpang Pahlawan III No. 20 RT. 05 RW. 01</t>
  </si>
  <si>
    <t>ais.cahyani@unpad.ac.id</t>
  </si>
  <si>
    <t>(022)7104600/(022)70771717</t>
  </si>
  <si>
    <t>Jl. Gegerkalong Hilir No.132 RT.001 RW.006</t>
  </si>
  <si>
    <t>luckysaputra@yahoo.ac.id</t>
  </si>
  <si>
    <t>08122315831</t>
  </si>
  <si>
    <t>mayasari.wahyu@unpad.ac.id</t>
  </si>
  <si>
    <t>Jl. Ir. H. Juanda No. 352 GH</t>
  </si>
  <si>
    <t>leni_edwin@yahoo.co.id</t>
  </si>
  <si>
    <t>081809311062</t>
  </si>
  <si>
    <t>Jl Mekar Indah 17, Pemukiman Mekar Indah. Rt.05/Rw.08.</t>
  </si>
  <si>
    <t>santi.andayani@unpad.ac.id</t>
  </si>
  <si>
    <t>(022)6612016</t>
  </si>
  <si>
    <t>0811227008</t>
  </si>
  <si>
    <t>Jl.Cipedes Tengah No.38 Rt.003/006</t>
  </si>
  <si>
    <t>gustiara@unpad.ac.id</t>
  </si>
  <si>
    <t>081369090100</t>
  </si>
  <si>
    <t>Jl. Pucung No.9. Turangga</t>
  </si>
  <si>
    <t>tutikurnianingsih@gmail.com</t>
  </si>
  <si>
    <t>(022)7300280</t>
  </si>
  <si>
    <t>08122329249</t>
  </si>
  <si>
    <t>Jl. Cihanjuang Cibaligo 38</t>
  </si>
  <si>
    <t>ine.renata@unpad.ac.id</t>
  </si>
  <si>
    <t>Jl. Bukit Dago Selatan No. 42 RT 008/003</t>
  </si>
  <si>
    <t>rachmatzg@yahoo.com</t>
  </si>
  <si>
    <t>08122045725</t>
  </si>
  <si>
    <t>Komp.Cijambe Indah B No.43/11 Rt.03 Rw.07</t>
  </si>
  <si>
    <t>budiana.rismawan@unpad.ac.id</t>
  </si>
  <si>
    <t>Dr. Cep Juli, dr., Sp.S(K)</t>
  </si>
  <si>
    <t>Jl. Suryalaya No. 33 RT 003/004</t>
  </si>
  <si>
    <t>rasya_01@yahoo.com</t>
  </si>
  <si>
    <t>(022)7320294</t>
  </si>
  <si>
    <t>08122415306</t>
  </si>
  <si>
    <t>widya.arsa@unpad.ac.id</t>
  </si>
  <si>
    <t>Jl. Manglit No.16 Rt.05 Rw.05</t>
  </si>
  <si>
    <t>kd.dian@ymail.com</t>
  </si>
  <si>
    <t>0811229606</t>
  </si>
  <si>
    <t>Jl. Hockey no 24 Arcamanik RT/RW 003/010 Kel Sukamiskin. Kec Arcamanik</t>
  </si>
  <si>
    <t>hill1075@yahoo.com</t>
  </si>
  <si>
    <t>(022)7208579</t>
  </si>
  <si>
    <t>08112292071</t>
  </si>
  <si>
    <t>Amaya Residence B No. 17 RT 006/RW 002</t>
  </si>
  <si>
    <t>eppy@unpad.ac.id</t>
  </si>
  <si>
    <t>0811115051</t>
  </si>
  <si>
    <t>Jl. Leuwi Panjang No. 98 RT 012 RW 004</t>
  </si>
  <si>
    <t>rienafrianti@yahoo.com</t>
  </si>
  <si>
    <t>0811214142</t>
  </si>
  <si>
    <t>mayang.rini@unpad.ac.id</t>
  </si>
  <si>
    <t>Jl. Permai IV No. 21 Margahayu Permai RT 001/007</t>
  </si>
  <si>
    <t>mariettashanti@gmail.com</t>
  </si>
  <si>
    <t>08122020010</t>
  </si>
  <si>
    <t>Jl. Sukasari No. 4 Bandung</t>
  </si>
  <si>
    <t>leni.santiana@unpad.ac.id</t>
  </si>
  <si>
    <t>081321134488</t>
  </si>
  <si>
    <t>Jl. Hokey No.14/16 Rt.03 Rw.10</t>
  </si>
  <si>
    <t>finarochady_pediatric@yahoo.com</t>
  </si>
  <si>
    <t>0811239594</t>
  </si>
  <si>
    <t>andrew@unpad.ac.id</t>
  </si>
  <si>
    <t>indriasari13001@student.unpad.ac.id</t>
  </si>
  <si>
    <t>Jl. Raden Ganda No. 22 Sukaraja, Cicendo, Bandung</t>
  </si>
  <si>
    <t>firmanpriguna@yahoo.com</t>
  </si>
  <si>
    <t>Jl. Dipatiukur no. 69</t>
  </si>
  <si>
    <t>kartika.ruchiatan@unpad.ac.id</t>
  </si>
  <si>
    <t>emmy.sugiarti@unpad.ac.id</t>
  </si>
  <si>
    <t>ahmedz.widiasta@unpad.ac.id</t>
  </si>
  <si>
    <t>nuraini13003@student.unpad.ac.id</t>
  </si>
  <si>
    <t>Jl. Venus Timur XIII No.3</t>
  </si>
  <si>
    <t>mnsbuddi@gmail.com</t>
  </si>
  <si>
    <t>081809000042</t>
  </si>
  <si>
    <t>Jl. Setrasirna III No. 3 Bandung</t>
  </si>
  <si>
    <t>ervita.ritonga@unpad.ac.id</t>
  </si>
  <si>
    <t>081802234777</t>
  </si>
  <si>
    <t>Jl. Cigadung Selatan II/1 Rt.01 Rw.06</t>
  </si>
  <si>
    <t>kakakchan31@gmail.com</t>
  </si>
  <si>
    <t>0811213112</t>
  </si>
  <si>
    <t>Jl. Cibaduyut Lama No.40 Rt.07 Rw.07</t>
  </si>
  <si>
    <t>dr_sez@yahoo.com</t>
  </si>
  <si>
    <t>0811224953</t>
  </si>
  <si>
    <t>Jl. Terusan Sutami No 20 Bandung</t>
  </si>
  <si>
    <t>aninsaboe@gmail.com</t>
  </si>
  <si>
    <t>(022)2011727</t>
  </si>
  <si>
    <t>08112281684</t>
  </si>
  <si>
    <t>Tempat Lahir</t>
  </si>
  <si>
    <t>Surabaya</t>
  </si>
  <si>
    <t>Jakarta</t>
  </si>
  <si>
    <t>Bandung</t>
  </si>
  <si>
    <t>Pengatur</t>
  </si>
  <si>
    <t>II/c</t>
  </si>
  <si>
    <t>Cililin</t>
  </si>
  <si>
    <t>Banda Aceh</t>
  </si>
  <si>
    <t>Garut</t>
  </si>
  <si>
    <t>198112302020121002</t>
  </si>
  <si>
    <t>Bondowoso</t>
  </si>
  <si>
    <t>Sumedang</t>
  </si>
  <si>
    <t>Pengatur Muda</t>
  </si>
  <si>
    <t>II/a</t>
  </si>
  <si>
    <t>II/d</t>
  </si>
  <si>
    <t>BANDUNG</t>
  </si>
  <si>
    <t>Bogor</t>
  </si>
  <si>
    <t>II/b</t>
  </si>
  <si>
    <t>Sukabumi</t>
  </si>
  <si>
    <t>I/d</t>
  </si>
  <si>
    <t>Yogyakarta</t>
  </si>
  <si>
    <t>Kuningan</t>
  </si>
  <si>
    <t>Cianjur</t>
  </si>
  <si>
    <t>Cirebon</t>
  </si>
  <si>
    <t>Tasikmalaya</t>
  </si>
  <si>
    <t>Cilacap</t>
  </si>
  <si>
    <t>Kudus</t>
  </si>
  <si>
    <t>Semarang</t>
  </si>
  <si>
    <t>198110262021094001</t>
  </si>
  <si>
    <t>Tanjung Balai Karimun</t>
  </si>
  <si>
    <t>Sendai, Jepang</t>
  </si>
  <si>
    <t>19780917201001002</t>
  </si>
  <si>
    <t>Magelang</t>
  </si>
  <si>
    <t>Pekanbaru</t>
  </si>
  <si>
    <t>Padang</t>
  </si>
  <si>
    <t>Medan</t>
  </si>
  <si>
    <t>MAGELANG</t>
  </si>
  <si>
    <t>Tanjung Karang</t>
  </si>
  <si>
    <t>198412312020121002</t>
  </si>
  <si>
    <t>198906232020121013</t>
  </si>
  <si>
    <t>Tidore Kepulauan</t>
  </si>
  <si>
    <t>Purwokerto</t>
  </si>
  <si>
    <t>Sleman</t>
  </si>
  <si>
    <t>Payakumbuh</t>
  </si>
  <si>
    <t>198002042006041011</t>
  </si>
  <si>
    <t>Cimahi</t>
  </si>
  <si>
    <t>SURABAYA</t>
  </si>
  <si>
    <t>Bontang</t>
  </si>
  <si>
    <t>Jambi</t>
  </si>
  <si>
    <t>Makasar</t>
  </si>
  <si>
    <t>Ciamis</t>
  </si>
  <si>
    <t>Karawang</t>
  </si>
  <si>
    <t>Subang</t>
  </si>
  <si>
    <t>Juru</t>
  </si>
  <si>
    <t>I/c</t>
  </si>
  <si>
    <t>Majalengka</t>
  </si>
  <si>
    <t>Solo</t>
  </si>
  <si>
    <t>Purwakarta</t>
  </si>
  <si>
    <t>Mataram, Lombok Barat</t>
  </si>
  <si>
    <t>Banjar</t>
  </si>
  <si>
    <t>Ketapang</t>
  </si>
  <si>
    <t>JAMBI</t>
  </si>
  <si>
    <t>Malang</t>
  </si>
  <si>
    <t>Sungai Angek, Baso, Agam</t>
  </si>
  <si>
    <t>I/b</t>
  </si>
  <si>
    <t>Panyabungan</t>
  </si>
  <si>
    <t>Kabanjahe</t>
  </si>
  <si>
    <t>Bandar Lampung</t>
  </si>
  <si>
    <t>197412252006041007</t>
  </si>
  <si>
    <t>Bekasi</t>
  </si>
  <si>
    <t>Kuala Kapuas</t>
  </si>
  <si>
    <t>198111212020121001</t>
  </si>
  <si>
    <t>Tanjungkarang</t>
  </si>
  <si>
    <t>Bukit Tinggi</t>
  </si>
  <si>
    <t>Jayapura</t>
  </si>
  <si>
    <t>Blitar</t>
  </si>
  <si>
    <t>Pulau Kijang (Riau)</t>
  </si>
  <si>
    <t>Klaten</t>
  </si>
  <si>
    <t>Balikpapan</t>
  </si>
  <si>
    <t>Malaysia</t>
  </si>
  <si>
    <t>sukabumi</t>
  </si>
  <si>
    <t>Pontianak</t>
  </si>
  <si>
    <t>Tulung Agung</t>
  </si>
  <si>
    <t>Ambon</t>
  </si>
  <si>
    <t>Pematang Siantar</t>
  </si>
  <si>
    <t>Berlin</t>
  </si>
  <si>
    <t>197801312021054001</t>
  </si>
  <si>
    <t>Palembang</t>
  </si>
  <si>
    <t>Manado</t>
  </si>
  <si>
    <t>Ponorogo</t>
  </si>
  <si>
    <t>Lebak</t>
  </si>
  <si>
    <t>Dumai</t>
  </si>
  <si>
    <t>Blora</t>
  </si>
  <si>
    <t>Banjarnegara</t>
  </si>
  <si>
    <t>Ujung Pandang</t>
  </si>
  <si>
    <t>Tabalong</t>
  </si>
  <si>
    <t>198403172018012001</t>
  </si>
  <si>
    <t>Tulungagung</t>
  </si>
  <si>
    <t>198711272019022001</t>
  </si>
  <si>
    <t>198509012019021001</t>
  </si>
  <si>
    <t>198601112018011001</t>
  </si>
  <si>
    <t>Sorong</t>
  </si>
  <si>
    <t>Selong</t>
  </si>
  <si>
    <t>Pati</t>
  </si>
  <si>
    <t>medan</t>
  </si>
  <si>
    <t>Cepu</t>
  </si>
  <si>
    <t>Cilegon</t>
  </si>
  <si>
    <t>Bonn, Jerman Barat</t>
  </si>
  <si>
    <t xml:space="preserve"> dr. R. Ayu Hardianti Saputri , Sp.THT-KL. </t>
  </si>
  <si>
    <t>IBEL</t>
  </si>
  <si>
    <t>Tubel (Tdk proses pengaktifan)</t>
  </si>
  <si>
    <t>198108052014121005</t>
  </si>
  <si>
    <t xml:space="preserve">197612112010121001 </t>
  </si>
  <si>
    <t xml:space="preserve">198009012010121002 </t>
  </si>
  <si>
    <t>Annisa Isfandiary Ismandiya, dr., Sp.An., M.Kes.</t>
  </si>
  <si>
    <t>Shelly, dr., Sp.KJ., M.Si., Ph.D</t>
  </si>
  <si>
    <t>Hanna, dr., M.Kes., AIFO, Ph.D.</t>
  </si>
  <si>
    <t>PANGKAT</t>
  </si>
  <si>
    <t>PANGKAT DAN GOLONGAN</t>
  </si>
  <si>
    <t>JABATAN</t>
  </si>
  <si>
    <t>I/a</t>
  </si>
  <si>
    <t>Juru Muda</t>
  </si>
  <si>
    <t>Juru Muda Tk. I</t>
  </si>
  <si>
    <t>Juru Tk. I</t>
  </si>
  <si>
    <t>Pengatur Muda Tk. I</t>
  </si>
  <si>
    <t>Pengatur Tk. I</t>
  </si>
  <si>
    <t>Penata Muda Tk.I (Gol. III/b)</t>
  </si>
  <si>
    <t>Penata (Gol. III/c)</t>
  </si>
  <si>
    <t>Penata Tk.I (Gol. III/d)</t>
  </si>
  <si>
    <t>Pembina (Gol. IV/a)</t>
  </si>
  <si>
    <t>Pembina Tk.I (Gol. IV/b)</t>
  </si>
  <si>
    <t>Pembina Utama Muda (Gol. IV/c)</t>
  </si>
  <si>
    <t>Pembina Utama Madya (Gol. IV/d)</t>
  </si>
  <si>
    <t>Pembina Utama (Gol. IV/e)</t>
  </si>
  <si>
    <t>Dr. Akhmad Yogi Pramatirta, dr., Sp.OG(K), M.Kes.</t>
  </si>
  <si>
    <t>Penata Muda (Gol. III/a)</t>
  </si>
  <si>
    <t>Dr. Insi Farisa Desy Arya, dr., M.Si.</t>
  </si>
  <si>
    <t>Dr. Jupiter Sibarani, dr.,Sp.U(K)</t>
  </si>
  <si>
    <t>Dr. Sawkar Vijay Pramod, dr.,SpU</t>
  </si>
  <si>
    <t>Lukman Hilfi, dr., MM., Ph.D.</t>
  </si>
  <si>
    <t>Dr. Shafia Khairani, drh., M.Si.</t>
  </si>
  <si>
    <t>Prof. Dr. Rudi Supriyadi, dr., M.Kes., Sp.PD-KGH</t>
  </si>
  <si>
    <t>Prof. dr. Nur Atik, M.Kes., Ph.D.</t>
  </si>
  <si>
    <t>Prof. Dr. Dewi Marhaeni Diah Herawati, drg.,M.Si.</t>
  </si>
  <si>
    <t xml:space="preserve">Dr. Tyagita, drh., M.VSc </t>
  </si>
  <si>
    <t>dr. Arifudin Achmad, Sp.K.N.T.M., Ph.D</t>
  </si>
  <si>
    <t>Prof. Dr. Januar Wibawa Martha, dr., M.HA., Sp.PD., Sp.JP(K)</t>
  </si>
  <si>
    <t>dr. Erda Avriyanti, Sp.D.V., Ph.D.</t>
  </si>
  <si>
    <t>Prof. Dr. med. Setiawan, dr., AIFM</t>
  </si>
  <si>
    <t>Prof. Dr. Yoni Fuadah Syukriani, dr., Sp.FM(K)., M.Si., DFM</t>
  </si>
  <si>
    <t>Prof. Hendra Gunawan, dr., Sp.KK(K)., Ph.D.</t>
  </si>
  <si>
    <t>Prof. Dr. Arto Yuwono Soeroto, dr., Sp.PD-KP.</t>
  </si>
  <si>
    <t>Prof. Dr. Hikmat Permana, dr., Sp.PD(K)</t>
  </si>
  <si>
    <t>Panji Fortuna Hadisoemarto, dr., MPH</t>
  </si>
  <si>
    <t>Prof. Dr. Deni Kurniadi Sunjaya, dr., DESS</t>
  </si>
  <si>
    <t>Dwi Agustian, dr., MPH., Ph.D</t>
  </si>
  <si>
    <t>Prof. Dr. Susi Susanah, dr.,SpA(K), M.Kes</t>
  </si>
  <si>
    <t>Prof. Bachti Alisjahbana, dr., Sp.PD-KPTI., Ph.D.</t>
  </si>
  <si>
    <t>Dr. Rachmat Budi Kuswiyanto, dr.,SpA(K), M.Kes</t>
  </si>
  <si>
    <t>Fathul Huda, dr., Sp.N., Ph.D.</t>
  </si>
  <si>
    <t>Prof. Dr. Sri Endah Rahayuningsih, dr.,SpA(K)</t>
  </si>
  <si>
    <t>Dr. Eva Krishna Sutedja, dr., M.Kes.,Sp.KK(K)</t>
  </si>
  <si>
    <t>Lia Faridah, dr., M.Si., Ph.D.</t>
  </si>
  <si>
    <t>Dr. Pati Aji Achdiat, dr., SpKK., M.Kes</t>
  </si>
  <si>
    <t>Silvita Fitri Riswari, dr., M.Kes., Ph.D.</t>
  </si>
  <si>
    <t xml:space="preserve">reza.rinaldy.harahap@unpad.ac.id </t>
  </si>
  <si>
    <t>Dr. Setyorini Irianti, dr., Sp.OG(K).</t>
  </si>
  <si>
    <t>Dr. Almahitta Cintami Putri, dr., Sp.BPRE</t>
  </si>
  <si>
    <t>Dr. Ahmad Agil, dr.,Sp.U</t>
  </si>
  <si>
    <t>Dr. Ali Sundoro, dr., SpBP-RE</t>
  </si>
  <si>
    <t>Dr. Chevi Sayusman, dr.,Sp.FM</t>
  </si>
  <si>
    <t>Dr. Rova Virgana, dr.,Sp.M</t>
  </si>
  <si>
    <t>Dr. Ginna Megawati, dr., M.Kes.</t>
  </si>
  <si>
    <t>Dr. Amaylia Oehadian, dr., Sp.PD-KHOM.</t>
  </si>
  <si>
    <t>Dr. Novina, dr., Sp.A(K), M.Kes.</t>
  </si>
  <si>
    <t>Dr. Fifi Veronica, dr.,M.Kes.</t>
  </si>
  <si>
    <t>Dr. Kartika Ruchiatan, dr., Sp.KK., M.Kes.</t>
  </si>
  <si>
    <t>Bony Wiem Lestari, dr., M.Sc., Ph.D.</t>
  </si>
  <si>
    <t>Dr. Raden Maula Rifada, dr., Sp.M</t>
  </si>
  <si>
    <t>Dr. Riyadi, dr., Sp.A (K)., M.Kes.</t>
  </si>
  <si>
    <t>Sofiati Dian, dr., Sp.S(K), M.Kes., Ph.D.</t>
  </si>
  <si>
    <t>dr. Rini Rossanti, Sp.A, M.Kes., Ph.D.</t>
  </si>
  <si>
    <t xml:space="preserve">199306182024061004 </t>
  </si>
  <si>
    <t>dr. Okky Husain, Sp.PA</t>
  </si>
  <si>
    <t xml:space="preserve">081374862837 </t>
  </si>
  <si>
    <t xml:space="preserve">okky.husain@gmail.com </t>
  </si>
  <si>
    <t>Nayla Majeda Alfarafisa, S.Si., M.Si., Ph.D</t>
  </si>
  <si>
    <t>drh. Faisal Amri Satrio, S.K.H.</t>
  </si>
  <si>
    <t>199307052024061001</t>
  </si>
  <si>
    <t>dr. Angkasa Ramatuan Hamdan, Sp.PD.</t>
  </si>
  <si>
    <t xml:space="preserve">199103202024061001 </t>
  </si>
  <si>
    <t>dr. Delima Istio Prawiradhani Putri, M.Epid.</t>
  </si>
  <si>
    <t>199305032024062001</t>
  </si>
  <si>
    <t xml:space="preserve">083822673300 </t>
  </si>
  <si>
    <t xml:space="preserve">081809597360 </t>
  </si>
  <si>
    <t xml:space="preserve">085726405409 </t>
  </si>
  <si>
    <t>drh. Fadeli Bermani, S.K.H.</t>
  </si>
  <si>
    <t xml:space="preserve">085173216012 </t>
  </si>
  <si>
    <t>dr. Arnova Reswari, Sp.OG.</t>
  </si>
  <si>
    <t>199111062024062001</t>
  </si>
  <si>
    <t xml:space="preserve">082211340006 </t>
  </si>
  <si>
    <t>dr. Ayu Angelina Ronosulistyo, Sp.OG.</t>
  </si>
  <si>
    <t>198810252024062001</t>
  </si>
  <si>
    <t xml:space="preserve">082295136656 </t>
  </si>
  <si>
    <t>drh. Armanda Dwi Prayugo, M.Biotek.</t>
  </si>
  <si>
    <t>199510062024061002</t>
  </si>
  <si>
    <t xml:space="preserve">  198708192024063001 </t>
  </si>
  <si>
    <t xml:space="preserve">Fajri Gafar, Apt., M.Farm., Ph.D. </t>
  </si>
  <si>
    <t>dr. Andri Rezano, M.Kes., Sp.And,. Ph.D</t>
  </si>
  <si>
    <t>Dr. Lulu Eva Rakhmilla, dr., M.KM</t>
  </si>
  <si>
    <t>Pringsewu</t>
  </si>
  <si>
    <t>Grobogan</t>
  </si>
  <si>
    <t>Brebes</t>
  </si>
  <si>
    <t>Desa Gajah, Asahan</t>
  </si>
  <si>
    <t xml:space="preserve">Bengkulu </t>
  </si>
  <si>
    <t xml:space="preserve">Bandung </t>
  </si>
  <si>
    <t xml:space="preserve">Tangerang </t>
  </si>
  <si>
    <t>Dr. rer.nat. Savira Ekawardhani , M.Si.</t>
  </si>
  <si>
    <t>dr. Arif Tri Prasetyo, M.Ked.Klin., Sp.B.P.R.E</t>
  </si>
  <si>
    <t>Prof. Dr. Kiki Lukman, dr., M.Sc., Sp.B-KBD</t>
  </si>
  <si>
    <t>Prof. Dr. Agnes Rengga Indrati, dr., Sp.PK., M.Kes</t>
  </si>
  <si>
    <t>Prof. Dr. Uni Gamayani, dr., Sp.S(K)</t>
  </si>
  <si>
    <t>Prof. Dr. Leonardo Lubis, dr., AIFO., M.Kes.</t>
  </si>
  <si>
    <t>Prof. Dr. Reno Rudiman, dr., Sp.B-KBD., M.Sc</t>
  </si>
  <si>
    <t>Vita Indriasari, dr., Sp.BA., M.Kes</t>
  </si>
  <si>
    <t>Prof. Dr. Suwarman, dr., Sp.An.-KIC, M.Kes</t>
  </si>
  <si>
    <t>199901162024061002</t>
  </si>
  <si>
    <t>3209200409680009</t>
  </si>
  <si>
    <t>3273236912540001</t>
  </si>
  <si>
    <t>Dr. Dodi Suardi, dr., Sp.OG(K).</t>
  </si>
  <si>
    <t>NIK</t>
  </si>
  <si>
    <t>3273091509760007</t>
  </si>
  <si>
    <t>3273135905630001</t>
  </si>
  <si>
    <t>3273191111610004</t>
  </si>
  <si>
    <t>3204372002630003</t>
  </si>
  <si>
    <t>3175075105660003</t>
  </si>
  <si>
    <t>3173510110810017</t>
  </si>
  <si>
    <t>3273074610660003</t>
  </si>
  <si>
    <t>3273102209620003</t>
  </si>
  <si>
    <t>3278056806770005</t>
  </si>
  <si>
    <t>3273022707700010</t>
  </si>
  <si>
    <t>3277032901820004</t>
  </si>
  <si>
    <t>3273011805700005</t>
  </si>
  <si>
    <t>3273060412800013</t>
  </si>
  <si>
    <t>3204105912800005</t>
  </si>
  <si>
    <t>3273085901810004</t>
  </si>
  <si>
    <t>3273246002610004</t>
  </si>
  <si>
    <t>3273242301610003</t>
  </si>
  <si>
    <t>3273260702790001</t>
  </si>
  <si>
    <t>3273132208730004</t>
  </si>
  <si>
    <t>3273304901780002</t>
  </si>
  <si>
    <t>3471134310900001</t>
  </si>
  <si>
    <t>3273076101790001</t>
  </si>
  <si>
    <t>3504034505810003</t>
  </si>
  <si>
    <t>3277015309590014</t>
  </si>
  <si>
    <t>3204095505760016</t>
  </si>
  <si>
    <t>3273020208740008</t>
  </si>
  <si>
    <t>3273235804790003</t>
  </si>
  <si>
    <t>3204066105760006</t>
  </si>
  <si>
    <t>3273202703870001</t>
  </si>
  <si>
    <t>3217026601690002</t>
  </si>
  <si>
    <t>3273236002810003</t>
  </si>
  <si>
    <t>3273161910630010</t>
  </si>
  <si>
    <t>3273266806740002</t>
  </si>
  <si>
    <t>3273226512750003</t>
  </si>
  <si>
    <t>3273134205860002</t>
  </si>
  <si>
    <t>3273184409830002</t>
  </si>
  <si>
    <t>3273244505780003</t>
  </si>
  <si>
    <t>1050251709785001</t>
  </si>
  <si>
    <t>3273240901750001</t>
  </si>
  <si>
    <t>3273305904750002</t>
  </si>
  <si>
    <t>3273133005690003</t>
  </si>
  <si>
    <t>3273204705770009</t>
  </si>
  <si>
    <t>3273084408810001</t>
  </si>
  <si>
    <t>3277026008620004</t>
  </si>
  <si>
    <t>3273222411770003</t>
  </si>
  <si>
    <t>3273075302660002</t>
  </si>
  <si>
    <t>3674054512830005</t>
  </si>
  <si>
    <t>3277034501800026</t>
  </si>
  <si>
    <t>3273015010800005</t>
  </si>
  <si>
    <t>3273174204850001</t>
  </si>
  <si>
    <t>3204280504890005</t>
  </si>
  <si>
    <t>1471020703830001</t>
  </si>
  <si>
    <t>3273030402800007</t>
  </si>
  <si>
    <t>3271046609920003</t>
  </si>
  <si>
    <t>3211150911780009</t>
  </si>
  <si>
    <t>3202296106860012</t>
  </si>
  <si>
    <t>3578014907890001</t>
  </si>
  <si>
    <t>3672016011830007</t>
  </si>
  <si>
    <t>3272174708760006</t>
  </si>
  <si>
    <t>3273187107660003</t>
  </si>
  <si>
    <t>3273070402740010</t>
  </si>
  <si>
    <t>3273023105710008</t>
  </si>
  <si>
    <t>3217014805850001</t>
  </si>
  <si>
    <t>3273062705800004</t>
  </si>
  <si>
    <t>3273071604850007</t>
  </si>
  <si>
    <t>3273141303790008</t>
  </si>
  <si>
    <t>3273064309800001</t>
  </si>
  <si>
    <t>3273282408800004</t>
  </si>
  <si>
    <t>3273142104850002</t>
  </si>
  <si>
    <t>3273220403830004</t>
  </si>
  <si>
    <t>3273015703840004</t>
  </si>
  <si>
    <t>3273170512790004</t>
  </si>
  <si>
    <t>3273200912750001</t>
  </si>
  <si>
    <t>3273010802760002</t>
  </si>
  <si>
    <t>3273026610810004</t>
  </si>
  <si>
    <t>3273085804720005</t>
  </si>
  <si>
    <t>3273016611660002</t>
  </si>
  <si>
    <t>3273216511830002</t>
  </si>
  <si>
    <t>3273182010670003</t>
  </si>
  <si>
    <t>3277031610840005</t>
  </si>
  <si>
    <t>3273053110850003</t>
  </si>
  <si>
    <t>3273134404730001</t>
  </si>
  <si>
    <t>3277011507850017</t>
  </si>
  <si>
    <t>3273136710730001</t>
  </si>
  <si>
    <t>3204054102850004</t>
  </si>
  <si>
    <t>3273265112780004</t>
  </si>
  <si>
    <t>3273036301800004</t>
  </si>
  <si>
    <t>3273185711840006</t>
  </si>
  <si>
    <t>3273231711750002</t>
  </si>
  <si>
    <t>3217025302860001</t>
  </si>
  <si>
    <t>3273184510730005</t>
  </si>
  <si>
    <t>1050252607805001</t>
  </si>
  <si>
    <t>3273016001750001</t>
  </si>
  <si>
    <t>3273221003850004</t>
  </si>
  <si>
    <t>3273243011770003</t>
  </si>
  <si>
    <t>3175011702820008</t>
  </si>
  <si>
    <t>6171055210860016</t>
  </si>
  <si>
    <t>3273014811790005</t>
  </si>
  <si>
    <t>3273126611810004</t>
  </si>
  <si>
    <t>3273022206830003</t>
  </si>
  <si>
    <t>3273166603860003</t>
  </si>
  <si>
    <t>3273136205800002</t>
  </si>
  <si>
    <t>3273015611750004</t>
  </si>
  <si>
    <t>3273150109850001</t>
  </si>
  <si>
    <t>3217013108840003</t>
  </si>
  <si>
    <t>3273224702830007</t>
  </si>
  <si>
    <t>3273180703790002</t>
  </si>
  <si>
    <t>3271064303840003</t>
  </si>
  <si>
    <t>3273136212760003</t>
  </si>
  <si>
    <t>3277035402640008</t>
  </si>
  <si>
    <t>3217024508810010</t>
  </si>
  <si>
    <t>3273064110790002</t>
  </si>
  <si>
    <t>3273024608660003</t>
  </si>
  <si>
    <t>3204096412790002</t>
  </si>
  <si>
    <t>3273076003800005</t>
  </si>
  <si>
    <t>3273255706800003</t>
  </si>
  <si>
    <t>3204094906750011</t>
  </si>
  <si>
    <t>3273060106820001</t>
  </si>
  <si>
    <t>3319017107870003</t>
  </si>
  <si>
    <t>3273052304870002</t>
  </si>
  <si>
    <t>3273286712900001</t>
  </si>
  <si>
    <t>3273116506880001</t>
  </si>
  <si>
    <t>3273212612870002</t>
  </si>
  <si>
    <t>3273092610770001</t>
  </si>
  <si>
    <t>3273075510860001</t>
  </si>
  <si>
    <t>3273183112840002</t>
  </si>
  <si>
    <t>3277015202860031</t>
  </si>
  <si>
    <t>3273091506780004</t>
  </si>
  <si>
    <t>3272030407720082</t>
  </si>
  <si>
    <t>3273011102870001</t>
  </si>
  <si>
    <t>3273066703840002</t>
  </si>
  <si>
    <t>3271044408860008</t>
  </si>
  <si>
    <t>3273224408780008</t>
  </si>
  <si>
    <t>3273024408680001</t>
  </si>
  <si>
    <t>1471095207850061</t>
  </si>
  <si>
    <t>3273247101780005</t>
  </si>
  <si>
    <t>3273081706860002</t>
  </si>
  <si>
    <t>3202332110870001</t>
  </si>
  <si>
    <t>3273086608790001</t>
  </si>
  <si>
    <t>3273206711670002</t>
  </si>
  <si>
    <t>3273115206730002</t>
  </si>
  <si>
    <t>3272020209880023</t>
  </si>
  <si>
    <t>3277035202890024</t>
  </si>
  <si>
    <t>3175016104750006</t>
  </si>
  <si>
    <t>3204066105630001</t>
  </si>
  <si>
    <t>3404071304820013</t>
  </si>
  <si>
    <t>3204371506850003</t>
  </si>
  <si>
    <t>3202390308850001</t>
  </si>
  <si>
    <t>3273244202790002</t>
  </si>
  <si>
    <t>3273076707800003</t>
  </si>
  <si>
    <t>3207336506890001</t>
  </si>
  <si>
    <t>3204066509810002</t>
  </si>
  <si>
    <t>3273132403870002</t>
  </si>
  <si>
    <t>3402121211820002</t>
  </si>
  <si>
    <t>3271050507910012</t>
  </si>
  <si>
    <t>3204081403900001</t>
  </si>
  <si>
    <t>5203076110910001</t>
  </si>
  <si>
    <t>3276065701900002</t>
  </si>
  <si>
    <t>3304034610880001</t>
  </si>
  <si>
    <t>3273272003910001</t>
  </si>
  <si>
    <t>3671091806930004</t>
  </si>
  <si>
    <t>3211184305930007</t>
  </si>
  <si>
    <t>3329060507930001</t>
  </si>
  <si>
    <t>1571024611910021</t>
  </si>
  <si>
    <t>3273026510880001</t>
  </si>
  <si>
    <t>3273011810740002</t>
  </si>
  <si>
    <t>3273072410770002</t>
  </si>
  <si>
    <t>3273074111780009</t>
  </si>
  <si>
    <t>3277016804810019</t>
  </si>
  <si>
    <t>3273132001780003</t>
  </si>
  <si>
    <t>3273234509710010</t>
  </si>
  <si>
    <t>3273096801740003</t>
  </si>
  <si>
    <t>3273096501790001</t>
  </si>
  <si>
    <t>3273230109800002</t>
  </si>
  <si>
    <t>3172060305720002</t>
  </si>
  <si>
    <t>3204066005670007</t>
  </si>
  <si>
    <t>3273244104720007</t>
  </si>
  <si>
    <t>3175070301860007</t>
  </si>
  <si>
    <t>3273234609760005</t>
  </si>
  <si>
    <t>3273060912710003</t>
  </si>
  <si>
    <t>1271022211860001</t>
  </si>
  <si>
    <t>3273262510710002</t>
  </si>
  <si>
    <t>3273091506780001</t>
  </si>
  <si>
    <t>3273130703800006</t>
  </si>
  <si>
    <t>3273181504810002</t>
  </si>
  <si>
    <t>3273022205630007</t>
  </si>
  <si>
    <t>3273165702810005</t>
  </si>
  <si>
    <t>3273022910710001</t>
  </si>
  <si>
    <t>3175022402770010</t>
  </si>
  <si>
    <t>3273042011750011</t>
  </si>
  <si>
    <t>3273182105740002</t>
  </si>
  <si>
    <t>3273210410780001</t>
  </si>
  <si>
    <t>3273071407760003</t>
  </si>
  <si>
    <t>3273011207740004</t>
  </si>
  <si>
    <t>3273130601660002</t>
  </si>
  <si>
    <t>3273062305780006</t>
  </si>
  <si>
    <t>3273026007750003</t>
  </si>
  <si>
    <t>3273092702750002</t>
  </si>
  <si>
    <t>3273200301720003</t>
  </si>
  <si>
    <t>3277031811620011</t>
  </si>
  <si>
    <t>3273130402750003</t>
  </si>
  <si>
    <t>3273042308710007</t>
  </si>
  <si>
    <t>3273071607660007</t>
  </si>
  <si>
    <t>3273020710660001</t>
  </si>
  <si>
    <t>3273134901680002</t>
  </si>
  <si>
    <t>3273026606760008</t>
  </si>
  <si>
    <t>3273011405670001</t>
  </si>
  <si>
    <t>3273136810700006</t>
  </si>
  <si>
    <t>3217024107630323</t>
  </si>
  <si>
    <t>3273013008720001</t>
  </si>
  <si>
    <t>3273201609750006</t>
  </si>
  <si>
    <t>3204125811770001</t>
  </si>
  <si>
    <t>3273145008860006</t>
  </si>
  <si>
    <t>3273054306700012</t>
  </si>
  <si>
    <t>3273234910780006</t>
  </si>
  <si>
    <t>3273211711690001</t>
  </si>
  <si>
    <t>3273187103750002</t>
  </si>
  <si>
    <t>3273225101760004</t>
  </si>
  <si>
    <t>3273094908550003</t>
  </si>
  <si>
    <t>3273014808750003</t>
  </si>
  <si>
    <t>3273074810690001</t>
  </si>
  <si>
    <t>1275041108890002</t>
  </si>
  <si>
    <t>3273105511660001</t>
  </si>
  <si>
    <t>3273066208650003</t>
  </si>
  <si>
    <t>3273072512740012</t>
  </si>
  <si>
    <t>3273186504620002</t>
  </si>
  <si>
    <t>3277024312620005</t>
  </si>
  <si>
    <t>3217025311670003</t>
  </si>
  <si>
    <t>3217021104630002</t>
  </si>
  <si>
    <t>3273301812710006</t>
  </si>
  <si>
    <t>3273235209820001</t>
  </si>
  <si>
    <t>3273065603690004</t>
  </si>
  <si>
    <t>3217065702650004</t>
  </si>
  <si>
    <t>3217066008740020</t>
  </si>
  <si>
    <t>3204091310700001</t>
  </si>
  <si>
    <t>3273110107660001</t>
  </si>
  <si>
    <t>3273244807700001</t>
  </si>
  <si>
    <t>3273112810630002</t>
  </si>
  <si>
    <t>1050084404743002</t>
  </si>
  <si>
    <t>3277035604630010</t>
  </si>
  <si>
    <t>3273114601740009</t>
  </si>
  <si>
    <t>3273026109780002</t>
  </si>
  <si>
    <t>3273016309770001</t>
  </si>
  <si>
    <t>3273272207770002</t>
  </si>
  <si>
    <t>3273015603770005</t>
  </si>
  <si>
    <t>3273071612620001</t>
  </si>
  <si>
    <t>3273086508670002</t>
  </si>
  <si>
    <t>3273242604710001</t>
  </si>
  <si>
    <t>3273086102630001</t>
  </si>
  <si>
    <t>3273187107610001</t>
  </si>
  <si>
    <t>3273136110630001</t>
  </si>
  <si>
    <t>3273185802680007</t>
  </si>
  <si>
    <t>1050304101793013</t>
  </si>
  <si>
    <t>3273146310770012</t>
  </si>
  <si>
    <t>3273182605660001</t>
  </si>
  <si>
    <t>1050255810663003</t>
  </si>
  <si>
    <t>3273070111610007</t>
  </si>
  <si>
    <t>3273096704670003</t>
  </si>
  <si>
    <t>3273015603770004</t>
  </si>
  <si>
    <t>3273132410690002</t>
  </si>
  <si>
    <t>3273027105710002</t>
  </si>
  <si>
    <t>3204055304750013</t>
  </si>
  <si>
    <t>3204066310660005</t>
  </si>
  <si>
    <t>3273095609690002</t>
  </si>
  <si>
    <t>3273212206770001</t>
  </si>
  <si>
    <t>3671012804810003</t>
  </si>
  <si>
    <t>3278026707750011</t>
  </si>
  <si>
    <t>3273220304760006</t>
  </si>
  <si>
    <t>3273077108690001</t>
  </si>
  <si>
    <t>3273240210750001</t>
  </si>
  <si>
    <t>3273075910760008</t>
  </si>
  <si>
    <t>3277021301830002</t>
  </si>
  <si>
    <t>3171061509690005</t>
  </si>
  <si>
    <t>3173055204830009</t>
  </si>
  <si>
    <t>1050060212653001</t>
  </si>
  <si>
    <t>3273072004720003</t>
  </si>
  <si>
    <t>3273171706800004</t>
  </si>
  <si>
    <t>3511113012810003</t>
  </si>
  <si>
    <t>1050170511725001</t>
  </si>
  <si>
    <t>3273091112760001</t>
  </si>
  <si>
    <t>3277032111810012</t>
  </si>
  <si>
    <t>3175061101860003</t>
  </si>
  <si>
    <t>3273051402580001</t>
  </si>
  <si>
    <t>3204060407610001</t>
  </si>
  <si>
    <t>3273091611640001</t>
  </si>
  <si>
    <t>3273092605730001</t>
  </si>
  <si>
    <t>3217022207700002</t>
  </si>
  <si>
    <t>1050021405713004</t>
  </si>
  <si>
    <t>3273101110790004</t>
  </si>
  <si>
    <t>3273072903620001</t>
  </si>
  <si>
    <t>1050232709835001</t>
  </si>
  <si>
    <t>3217020508810026</t>
  </si>
  <si>
    <t>3217026503840007</t>
  </si>
  <si>
    <t>3273122007640001</t>
  </si>
  <si>
    <t>3273015812740004</t>
  </si>
  <si>
    <t>3273134206730001</t>
  </si>
  <si>
    <t>3273075703790009</t>
  </si>
  <si>
    <t>3273135503730005</t>
  </si>
  <si>
    <t>3204104105690006</t>
  </si>
  <si>
    <t>3273246011710001</t>
  </si>
  <si>
    <t>3273241407660002</t>
  </si>
  <si>
    <t>3273130701690005</t>
  </si>
  <si>
    <t>3273122803680004</t>
  </si>
  <si>
    <t>3273136701850004</t>
  </si>
  <si>
    <t>3674034805820019</t>
  </si>
  <si>
    <t>3273176704760001</t>
  </si>
  <si>
    <t>3273181310660002</t>
  </si>
  <si>
    <t>3273140601710001</t>
  </si>
  <si>
    <t>3273156001800001</t>
  </si>
  <si>
    <t>3273095208610001</t>
  </si>
  <si>
    <t>3217025412270002</t>
  </si>
  <si>
    <t>3273221704710001</t>
  </si>
  <si>
    <t>3273153107810001</t>
  </si>
  <si>
    <t>3273021305710004</t>
  </si>
  <si>
    <t>3273175911800004</t>
  </si>
  <si>
    <t>3404072306890002</t>
  </si>
  <si>
    <t>1050050202805001</t>
  </si>
  <si>
    <t>3404064603840001</t>
  </si>
  <si>
    <t>3273024904670012</t>
  </si>
  <si>
    <t>3204060305650005</t>
  </si>
  <si>
    <t>3273180708650003</t>
  </si>
  <si>
    <t>3204062509620001</t>
  </si>
  <si>
    <t>3273131001700003</t>
  </si>
  <si>
    <t>1050251905653012</t>
  </si>
  <si>
    <t>3273242608710002</t>
  </si>
  <si>
    <t>3273160112610006</t>
  </si>
  <si>
    <t>3273130210570002</t>
  </si>
  <si>
    <t>3273032402550003</t>
  </si>
  <si>
    <t>1050065108553003</t>
  </si>
  <si>
    <t>3273186405710002</t>
  </si>
  <si>
    <t>3273125412620001</t>
  </si>
  <si>
    <t>3273202402720002</t>
  </si>
  <si>
    <t>3273134307790004</t>
  </si>
  <si>
    <t>3273020101790022</t>
  </si>
  <si>
    <t>3204092002690001</t>
  </si>
  <si>
    <t>3273115412740008</t>
  </si>
  <si>
    <t>3273016307650002</t>
  </si>
  <si>
    <t>3273242310620004</t>
  </si>
  <si>
    <t>3273201402760007</t>
  </si>
  <si>
    <t>3273025607620001</t>
  </si>
  <si>
    <t>3273011007650005</t>
  </si>
  <si>
    <t>3273015512740006</t>
  </si>
  <si>
    <t>Sally Mahdiani, dr., Sp.THT-KL., M.Kes.</t>
  </si>
  <si>
    <t>Prof. Edhyana K. Sahiratmadja, dr., Ph.D</t>
  </si>
  <si>
    <t>Kemendiktisainstek</t>
  </si>
  <si>
    <t>3273090611630001</t>
  </si>
  <si>
    <t>Dr. Gartika Sapartini, dr., Sp.A(K)., M.Kes.</t>
  </si>
  <si>
    <t>1703071601990001</t>
  </si>
  <si>
    <t>1809010610950001</t>
  </si>
  <si>
    <t>Dr. Titing Nurhayati, dr., AIFO.,M.Kes.</t>
  </si>
  <si>
    <t xml:space="preserve">3273241210680001 </t>
  </si>
  <si>
    <t>1050126407665001</t>
  </si>
  <si>
    <t>198409152010011015</t>
  </si>
  <si>
    <t>dr. Muhammad Adam Pribadi, Sp.B.S</t>
  </si>
  <si>
    <t>Dr. Chrysanti, dr., S.Ked., M.Kes</t>
  </si>
  <si>
    <t>3204100603740005</t>
  </si>
  <si>
    <t>Dr. Gita Tiara Dewi Nasution, dr., M.Kes.</t>
  </si>
  <si>
    <t>Julia Ramadhanti, dr., S.Ked., Ph.D</t>
  </si>
  <si>
    <t>3204101902810008</t>
  </si>
  <si>
    <t xml:space="preserve">3601210312840004 </t>
  </si>
  <si>
    <t>Dr. Arnengsih, dr., Sp.KFR</t>
  </si>
  <si>
    <t>Dr. Dian Marta Sari,dr., M.Kes., Sp.KFR.</t>
  </si>
  <si>
    <t>3273015012830004</t>
  </si>
  <si>
    <t>3273137007470001</t>
  </si>
  <si>
    <t>3273212407660001</t>
  </si>
  <si>
    <t>Prof. Dr. Dzulfikar DLH, dr., Sp.A(K), M.Kes., MMRS</t>
  </si>
  <si>
    <t>Prof. Dr. Anggraini Alam, dr.,SpA(K)</t>
  </si>
  <si>
    <t>3204064910680004</t>
  </si>
  <si>
    <t>3273226404690002</t>
  </si>
  <si>
    <t>3204322803750007</t>
  </si>
  <si>
    <t>Faisal, dr., Sp.A, M.Kes.</t>
  </si>
  <si>
    <t>3273140607800007</t>
  </si>
  <si>
    <t>Prof. Dr. Reiva Farah Dwiyana, dr., M.Kes., Sp.KK(K)</t>
  </si>
  <si>
    <t>Anggraini Widjajakusuma, dr., Sp.PD.</t>
  </si>
  <si>
    <t>Dini Saraswati Handayani, S.ST., M.KM</t>
  </si>
  <si>
    <t>Qorinah Estiningtyas Sakilah Adnani, SST., M.Keb., Ph.D</t>
  </si>
  <si>
    <t>Dr. Agung Dinasti Permana, dr., SpTHT-KL., M.Kes., FICS</t>
  </si>
  <si>
    <t>3273016105650002</t>
  </si>
  <si>
    <t>Dr. Pandji Irani Fianza, dr., M.Sc., Sp.PD-KHOM</t>
  </si>
  <si>
    <t>3273132202690001</t>
  </si>
  <si>
    <t>3273091108710001</t>
  </si>
  <si>
    <t>3273081608680003</t>
  </si>
  <si>
    <t>3201024703760006</t>
  </si>
  <si>
    <t>3273201601630002</t>
  </si>
  <si>
    <t>Prof. Dr. Gatot N. A. Winarno, dr., Sp.OG(K)., M.Kes.</t>
  </si>
  <si>
    <t>Dr. R. M. Sonny Sasotya, dr., Sp.OG(K).</t>
  </si>
  <si>
    <t>3273204301730002</t>
  </si>
  <si>
    <t>3273020204740014</t>
  </si>
  <si>
    <t>3273131007780006</t>
  </si>
  <si>
    <t>3273024507670019</t>
  </si>
  <si>
    <t>195412292025034001</t>
  </si>
  <si>
    <t>Adhi Kristianto Sugianli, dr., Sp.PK(K)., M.Kes., Ph.D.</t>
  </si>
  <si>
    <t>Farida Arisanti, dr., SpKFR</t>
  </si>
  <si>
    <t>Dr. Arif Dermawan, dr., Sp.THT-KL., M.Kes</t>
  </si>
  <si>
    <t>Dr. Rani Septrina, dr., Sp.BP-RE</t>
  </si>
  <si>
    <t>Lilik Sukesi, dr., Sp.PD-KGH, KIC.</t>
  </si>
  <si>
    <t>196809042009121001</t>
  </si>
  <si>
    <t>Gugun Iskandar H., dr., SpJP(K)., FIHA., FAsCC</t>
  </si>
  <si>
    <t>199304212025073001</t>
  </si>
  <si>
    <t>Abdullah Ichsan, dr., Sp.KJ.</t>
  </si>
  <si>
    <t>7371132104930011</t>
  </si>
  <si>
    <t>Probolinggo</t>
  </si>
  <si>
    <t>Jl. Permata Tamansari III No. 12, Cisarantenten Kulon, Kecamatan Arcamanik Kota Bandung</t>
  </si>
  <si>
    <t>ichsanlernt@gmail.com</t>
  </si>
  <si>
    <t>199807192025073001</t>
  </si>
  <si>
    <t>Naufal Fakhri Nugraha, dr., MMRS</t>
  </si>
  <si>
    <t>3208091907980008</t>
  </si>
  <si>
    <t>Jl. Bhakti Pemuda No. 82A, RT. 006 RW. 002, Kelurahan Purwawinangun, Kecamatan Kuningan Kabupaten Kuningan</t>
  </si>
  <si>
    <t>naufalnugraha19@gmail.com</t>
  </si>
  <si>
    <t>198709022025074001</t>
  </si>
  <si>
    <t>Siti Nurhayati Kholidah, dr., Sp.MK</t>
  </si>
  <si>
    <t>3209374209870002</t>
  </si>
  <si>
    <t>JL. KH. Idris Kamali No. 8 Desa Kempek Blok 1 RT. 01 RW. 01 Gempek, Kecamatan Gempol Kabupaten Cirebon</t>
  </si>
  <si>
    <t>siti.kholidah@mail.ugm.ac.id</t>
  </si>
  <si>
    <t>198606182025074001</t>
  </si>
  <si>
    <t>Raden Azimar Farhani, dr., Sp.JP., FIHA</t>
  </si>
  <si>
    <t>3273025806860003</t>
  </si>
  <si>
    <t>Jl. Cisitu Indah No. 12, RT. 008 RW. 012, Kecamatan Coblong, Kota Bandung</t>
  </si>
  <si>
    <t>azimar.farhani@gmail.com</t>
  </si>
  <si>
    <t>199006182025073001</t>
  </si>
  <si>
    <t>Mohamad Rizki Dwikane, dr., Sp.An.</t>
  </si>
  <si>
    <t>3277031806900002</t>
  </si>
  <si>
    <t>Amaya Residence Blok A4, Jl. Sukaati Raya RT. 05 RW. 07, Kecamatan Regol, Kota Bandung</t>
  </si>
  <si>
    <t>mr.dwikane@gmail.com</t>
  </si>
  <si>
    <t>199206252025074001</t>
  </si>
  <si>
    <t>Dian Nuryanda, dr., Sp.An-TI</t>
  </si>
  <si>
    <t>3273076506920001</t>
  </si>
  <si>
    <t>Jalan Karang Tineung Dalam No. 40A RT. 006 RW. 005 Kecamatan Sukajadi, Kota Bandung</t>
  </si>
  <si>
    <t>diannuryandaa@gmail.com</t>
  </si>
  <si>
    <t>198809042025073001</t>
  </si>
  <si>
    <t>Prapanca Nugraha, dr., M.Sc., Sp.B</t>
  </si>
  <si>
    <t>3201240409880001</t>
  </si>
  <si>
    <t>Tanjung Enim</t>
  </si>
  <si>
    <t>Jalan Griya Utara 1 No. 6 RT. 05 RW. 06, Kecamatan Sukajadi, Kota Bandung</t>
  </si>
  <si>
    <t>prapanca.nugraha@unpad.ac.id</t>
  </si>
  <si>
    <t>199205052025073001</t>
  </si>
  <si>
    <t>Zuldi Erdiansyah, dr., Sp.B.</t>
  </si>
  <si>
    <t>3277010505920019</t>
  </si>
  <si>
    <t>Jl. Permata Taman Sari III No. 14 RT. 02 RW. 11 Kelurahan Cisaranten Kulon Kecamatan Arcamanik, Kota Bandung</t>
  </si>
  <si>
    <t>erdiansyahzuldi@gmail.com</t>
  </si>
  <si>
    <t>199102022025073001</t>
  </si>
  <si>
    <t>Muhammad Marikar Arsy, dr., Sp.BA.</t>
  </si>
  <si>
    <t>3273240202910001</t>
  </si>
  <si>
    <t>Jl. Dago Asri No. 9, Kecamatan Coblong, Kota Bandung</t>
  </si>
  <si>
    <t>marikar.arsy@unpad.ac.id</t>
  </si>
  <si>
    <t>199209192025074001</t>
  </si>
  <si>
    <t>Ita Nursita Kusmayadi, dr., Sp.B,P.R.E.</t>
  </si>
  <si>
    <t>3273025909920001</t>
  </si>
  <si>
    <t>Jl. Dr. Slamet No. 6 Cipaganti, Kecamatan Coblong, Kota Bandung</t>
  </si>
  <si>
    <t>itanursita199@gmail.com</t>
  </si>
  <si>
    <t>198902152025073001</t>
  </si>
  <si>
    <t>Muhammad Azhary Lazuardy, dr., Sp.BS., M.M.</t>
  </si>
  <si>
    <t>3204061502890001</t>
  </si>
  <si>
    <t>Padasuka Ideal Residence A6 No. 9 Kelurahan Padasuka, Kecamatan Cimenyan, Kota Bandung</t>
  </si>
  <si>
    <t>azharylazuardy@gmail.com</t>
  </si>
  <si>
    <t>199109082025074001</t>
  </si>
  <si>
    <t>Chaerani Pratiwi Firdaus, dr., Sp.DV.</t>
  </si>
  <si>
    <t>3273224809910001</t>
  </si>
  <si>
    <t>Jl. Kawaluyaan Indah VIII No. 6, Kelurahan Jatisari, Kecamatan Buahbatu, Kota Bandung</t>
  </si>
  <si>
    <t>chaeranifirdaus@gmail.com</t>
  </si>
  <si>
    <t>199007042025074001</t>
  </si>
  <si>
    <t>Rafithia Anandita, dr., Sp.D.V.E.</t>
  </si>
  <si>
    <t>3273114407900001</t>
  </si>
  <si>
    <t>Jl. Pasir Salam I No. 3, Kecamatan Regol, Kota Bandung</t>
  </si>
  <si>
    <t>rafithiaanandita@yahoo.co.id</t>
  </si>
  <si>
    <t>199110042025073001</t>
  </si>
  <si>
    <t>Achmad Triadi Setiawan, dr., Sp.JP</t>
  </si>
  <si>
    <t>3273110410910002</t>
  </si>
  <si>
    <t>Jl. Oto Iskandardinata No. 393, RT. 001 RW. 001, Kelurahan Pungkur, Kecamatan Regol, Kota Bandung</t>
  </si>
  <si>
    <t>achmadtriadi.ats@gmail.com</t>
  </si>
  <si>
    <t>199201082025073001</t>
  </si>
  <si>
    <t>Muhammad Adniel Ilhamy, dr., Sp.JP</t>
  </si>
  <si>
    <t>3273190801920001</t>
  </si>
  <si>
    <t>Jl. Kebon Sirih No. 11, Kecamatan Sumur Bandung, Kota Bandung</t>
  </si>
  <si>
    <t>adnielilhamy@gmail.com</t>
  </si>
  <si>
    <t>198307012025074001</t>
  </si>
  <si>
    <t>Angke Rafalrizki, dr., Sp.KJ.</t>
  </si>
  <si>
    <t>3273184107830003</t>
  </si>
  <si>
    <t>Jl. Antropologi No. 7 RT. 001 RW. 007 Kelurahan Cigadung, Kecamatan Cibeunying Kaler, Kota Bandung</t>
  </si>
  <si>
    <t>rafalrizki@gmail.com</t>
  </si>
  <si>
    <t>199401122025073001</t>
  </si>
  <si>
    <t>Sri Hudaya Widihastha, dr., Sp.M., MM.</t>
  </si>
  <si>
    <t>3273221201940002</t>
  </si>
  <si>
    <t>Jl. Margaluyu No. 37 RT. 010 RW. 09 Margasari, Kecamatan Buah Batu</t>
  </si>
  <si>
    <t>widihastha@gmail.com</t>
  </si>
  <si>
    <t>199212032025074001</t>
  </si>
  <si>
    <t>Raisha Pratiwi Indrawati, dr., Sp.M., M.Sc</t>
  </si>
  <si>
    <t>3273244312920003</t>
  </si>
  <si>
    <t>199212312025074001</t>
  </si>
  <si>
    <t>Syifa Rahmani, dr., Sp.M.</t>
  </si>
  <si>
    <t>3273227112920001</t>
  </si>
  <si>
    <t>199101222025074001</t>
  </si>
  <si>
    <t>Nadya Beatrix Yohanna Napitupulu, dr., Sp.M.</t>
  </si>
  <si>
    <t>1271176201910003</t>
  </si>
  <si>
    <t>198907132025074001</t>
  </si>
  <si>
    <t>Melia Juwita Adha, dr., Sp.OG.</t>
  </si>
  <si>
    <t>1471055307890001</t>
  </si>
  <si>
    <t>198906042025073001</t>
  </si>
  <si>
    <t>Adiguna Wibawa Gurnita, dr., Sp.OG.</t>
  </si>
  <si>
    <t>3272020406890021</t>
  </si>
  <si>
    <t>199302132025073001</t>
  </si>
  <si>
    <t>Imam Ramdhani Abdurrahman, dr., Sp.OT.</t>
  </si>
  <si>
    <t>3273041302930014</t>
  </si>
  <si>
    <t>199001222025074001</t>
  </si>
  <si>
    <t>Yandriyane Stephanie Robiady, dr., Sp.OT.</t>
  </si>
  <si>
    <t>3273136201900003</t>
  </si>
  <si>
    <t>198809242025073001</t>
  </si>
  <si>
    <t>Saviar Randy, dr., Sp.Rad.</t>
  </si>
  <si>
    <t>3273222409870001</t>
  </si>
  <si>
    <t>199501112025074001</t>
  </si>
  <si>
    <t>Vindy Margaretha Miguna, dr., Sp.KFR.</t>
  </si>
  <si>
    <t>3273065101950001</t>
  </si>
  <si>
    <t>199204282025073001</t>
  </si>
  <si>
    <t>R. Dimas Hardiana Putra, dr., Sp.THT-BKL</t>
  </si>
  <si>
    <t>3273202804920001</t>
  </si>
  <si>
    <t>198207062020121001</t>
  </si>
  <si>
    <t>Indra Prasetya Yarman, dr., SpB., Subsip.BVE(K)</t>
  </si>
  <si>
    <t>Dr. dr. Risa Miliawati Nurul Hidayah, Sp.D.V.E, Subsp.D.T</t>
  </si>
  <si>
    <t>Aris Primadi, dr.,Sp.A(K)</t>
  </si>
  <si>
    <t>Roland Sidabutar, dr., Sp.BS., Subsp.N-Onk(K)., M.Kes.</t>
  </si>
  <si>
    <t>Dr. Mirna Sobana, dr., Sp.BS., Subsp. N-PedNS(K)., M.Kes</t>
  </si>
  <si>
    <t>Tisnasari Hafsah, dr., Sp.A(K)</t>
  </si>
  <si>
    <t>Dr. Mia Milanti Dewi, dr.,SpA, M.Kes</t>
  </si>
  <si>
    <t>Dr. Andriana Purnama, dr., MM., Sp.B., Subsp.BD(K)</t>
  </si>
  <si>
    <t>Dr. Siti Nur Fatimah,dr., MS., Sp.GK</t>
  </si>
  <si>
    <t>Siska Wiramihardja, dr., Sp.GK., M.Kes</t>
  </si>
  <si>
    <t>Kiki Akhmad Rizki, dr., Sp.B., Subsp.Onk(K)., MMRS., M.Kes</t>
  </si>
  <si>
    <t>dr. Deta Tanuwidjaja, Sp.KFR.</t>
  </si>
  <si>
    <t>196101231988031007</t>
  </si>
  <si>
    <t>Prof. Dr. Vitriana, dr., Sp.KFR(K)</t>
  </si>
  <si>
    <t>Dr. Henhen Heryaman, dr.,Sp.PD</t>
  </si>
  <si>
    <t>Astrid Feinisa Khairani, dr., M.Kes., Ph.D</t>
  </si>
  <si>
    <t>Ronny, dr., M.Kes., AIFO., Ph.D</t>
  </si>
  <si>
    <t>Prof. Dr. Adhi Pribadi, dr., Sp.OG(K).</t>
  </si>
  <si>
    <t>Putie Hapsari, dr., Sp.B., Subsp.BVE(K)</t>
  </si>
  <si>
    <t>Prof. Dr. Wijana, dr., SpTHT-KL., FICS</t>
  </si>
  <si>
    <t>Prof. Dr. Muhammad Alamsyah, dr., Sp.OG(K), M.Kes., KIC</t>
  </si>
  <si>
    <t>Viramitha Kusnandi Rusmil, dr., M.Kes., Sp.A(K)</t>
  </si>
  <si>
    <t>Teluk Betung</t>
  </si>
  <si>
    <t>dr. Elfa Ali Idrus, Sp.M.</t>
  </si>
  <si>
    <t>197902042022074001</t>
  </si>
  <si>
    <t>9101014402790001</t>
  </si>
  <si>
    <t>Makian</t>
  </si>
  <si>
    <t>3204091912780012</t>
  </si>
  <si>
    <t>3217020209660006</t>
  </si>
  <si>
    <t>3273200302700003</t>
  </si>
  <si>
    <t>3273070906720011</t>
  </si>
  <si>
    <t>3217022806750004</t>
  </si>
  <si>
    <t>1571031509840041</t>
  </si>
  <si>
    <t>3273264511930003</t>
  </si>
  <si>
    <t>3273236210780002</t>
  </si>
  <si>
    <t>3273124402640006</t>
  </si>
  <si>
    <t>3273021010680006</t>
  </si>
  <si>
    <t>3273012002750003</t>
  </si>
  <si>
    <t>3273016005620003</t>
  </si>
  <si>
    <t>3273180204640005</t>
  </si>
  <si>
    <t>3277037105670004</t>
  </si>
  <si>
    <t>3217025706670001</t>
  </si>
  <si>
    <t>3273131012680001</t>
  </si>
  <si>
    <t>3273132812700005</t>
  </si>
  <si>
    <t>3273186603730001</t>
  </si>
  <si>
    <t>3217025810790006</t>
  </si>
  <si>
    <t>3273092204790001</t>
  </si>
  <si>
    <t>3217024901710003</t>
  </si>
  <si>
    <t>3277014706760017</t>
  </si>
  <si>
    <t>3315134503790010</t>
  </si>
  <si>
    <t>3273136607680013</t>
  </si>
  <si>
    <t>3273024607800001</t>
  </si>
  <si>
    <t>198509212022113001</t>
  </si>
  <si>
    <t>Nisa Fauziah, dr., Sp.Par.K., M.Kes.</t>
  </si>
  <si>
    <t>1376031908870001</t>
  </si>
  <si>
    <t>3217021203780010</t>
  </si>
  <si>
    <t>3273145006790006</t>
  </si>
  <si>
    <t>3273280112820003</t>
  </si>
  <si>
    <t>3211156512610005</t>
  </si>
  <si>
    <t>3273012412680001</t>
  </si>
  <si>
    <t>Dr. Muhammad Begawan Bestari, dr., Sp.PD-KGEH, M.Kes.,FASGE</t>
  </si>
  <si>
    <t>3273115108660001</t>
  </si>
  <si>
    <t>3273181608630002</t>
  </si>
  <si>
    <t>3273011007740003</t>
  </si>
  <si>
    <t>3273060407830002</t>
  </si>
  <si>
    <t>3277031303690006</t>
  </si>
  <si>
    <t>3273132504700001</t>
  </si>
  <si>
    <t>3273090607820001</t>
  </si>
  <si>
    <t>Prof. Dr. Ida Parwati, dr., Sp.PK(K)</t>
  </si>
  <si>
    <t>Prof. Dr. Yoyos Dias Ismiarto, dr., Sp.O.T.Subsp.A(K)., M.Kes</t>
  </si>
  <si>
    <t>Dr. Dicky Mulyadi., dr., Sp.O.T.Subsp.P.L(K)</t>
  </si>
  <si>
    <t>Dr. Ahmad Ramdan, dr., Sp.O.T.Subsp.O.T.B(K)., MKM</t>
  </si>
  <si>
    <t>Dr. Fathurachman, dr., Sp.OT., M.Kes., FICS.</t>
  </si>
  <si>
    <t>Widya Arsa, dr., Sp.O.T.Subsp.T.L.B.M(K)</t>
  </si>
  <si>
    <t>Ghuna Arioharjo Utoyo, dr., Sp.O.T.Subsp.C.O(K)., AIFO-K</t>
  </si>
  <si>
    <t>Dr. R. Andri Primadhi, dr., SpOT.Subsp.K.P(K)</t>
  </si>
  <si>
    <t>M. Naseh Sajadi Budi Irawan, dr., Sp.O.T.Subsp.Onk.Ort.R(K)</t>
  </si>
  <si>
    <t>Herry Herman, dr., SpOT., Ph.D</t>
  </si>
  <si>
    <t>Realita Malik, dr., Sp.O.T.Subsp.T.L.B.M(K)</t>
  </si>
  <si>
    <t>Dr. Renaldi Prasetia HNR, dr., Sp.O.T.Subsp.O.B.S(K)., M.Kes(AIFO)</t>
  </si>
  <si>
    <t>Gibran Tristan Alpharian, dr., Sp.O.T.Subsp.T.L(K)</t>
  </si>
  <si>
    <t>Abdul Kadir Hadar, dr., Sp.O.T.Subsp.O.T.B(K)</t>
  </si>
  <si>
    <t>3273010212860003</t>
  </si>
  <si>
    <t>3277034906740012</t>
  </si>
  <si>
    <t>1271012109850002</t>
  </si>
  <si>
    <t>3273052710860002</t>
  </si>
  <si>
    <t>3273220407580003</t>
  </si>
  <si>
    <t>3273272501710001</t>
  </si>
  <si>
    <t>Dr. Rodman Tarigan, dr., SpA(K)., M.Kes</t>
  </si>
  <si>
    <t>Dr. Ahmedz Widiasta, dr., Sp.A (K)., M.Kes.</t>
  </si>
  <si>
    <t>195508112026014001</t>
  </si>
  <si>
    <t>195508092026014001</t>
  </si>
  <si>
    <t>195502242026013001</t>
  </si>
  <si>
    <t>Aktif - TIDAK TETAP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</si>
</sst>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21]dd\ mmmm\ yyyy;@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4"/>
      <color theme="1"/>
      <name val="Arial Narrow"/>
      <family val="2"/>
    </font>
    <font>
      <i/>
      <sz val="10"/>
      <color rgb="FFFF0000"/>
      <name val="Arial Narrow"/>
      <family val="2"/>
    </font>
    <font>
      <sz val="10"/>
      <color rgb="FF000000"/>
      <name val="Arial"/>
      <family val="2"/>
    </font>
    <font>
      <i/>
      <sz val="8"/>
      <color rgb="FFFF0000"/>
      <name val="Arial Narrow"/>
      <family val="2"/>
    </font>
    <font>
      <b/>
      <sz val="14"/>
      <color indexed="8"/>
      <name val="CG Omega"/>
      <family val="2"/>
    </font>
    <font>
      <sz val="10"/>
      <color indexed="8"/>
      <name val="CG Omega"/>
      <family val="2"/>
    </font>
    <font>
      <sz val="14"/>
      <color indexed="8"/>
      <name val="CG Omega"/>
      <family val="2"/>
    </font>
    <font>
      <sz val="10"/>
      <name val="Arial"/>
      <family val="2"/>
    </font>
    <font>
      <b/>
      <sz val="14"/>
      <name val="CG Omega"/>
      <family val="2"/>
    </font>
    <font>
      <sz val="10"/>
      <color rgb="FFFF0000"/>
      <name val="Arial Narrow"/>
      <family val="2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4" fillId="0" borderId="0"/>
    <xf numFmtId="0" fontId="15" fillId="0" borderId="0" applyNumberFormat="0" applyFill="0" applyBorder="0" applyAlignment="0" applyProtection="0"/>
  </cellStyleXfs>
  <cellXfs count="56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 shrinkToFit="1"/>
    </xf>
    <xf numFmtId="0" fontId="2" fillId="3" borderId="1" xfId="0" quotePrefix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 shrinkToFit="1"/>
    </xf>
    <xf numFmtId="0" fontId="2" fillId="3" borderId="1" xfId="0" applyFont="1" applyFill="1" applyBorder="1" applyAlignment="1">
      <alignment vertical="center" shrinkToFit="1"/>
    </xf>
    <xf numFmtId="164" fontId="7" fillId="0" borderId="0" xfId="0" applyNumberFormat="1" applyFont="1" applyAlignment="1">
      <alignment horizontal="left" vertical="center"/>
    </xf>
    <xf numFmtId="164" fontId="2" fillId="3" borderId="2" xfId="0" applyNumberFormat="1" applyFont="1" applyFill="1" applyBorder="1" applyAlignment="1">
      <alignment horizontal="center" vertical="center" wrapText="1"/>
    </xf>
    <xf numFmtId="0" fontId="9" fillId="0" borderId="0" xfId="4" applyFont="1" applyBorder="1" applyAlignment="1"/>
    <xf numFmtId="0" fontId="8" fillId="4" borderId="0" xfId="4" applyFont="1" applyFill="1" applyBorder="1" applyAlignment="1">
      <alignment horizontal="center"/>
    </xf>
    <xf numFmtId="0" fontId="10" fillId="0" borderId="0" xfId="4" applyFont="1" applyBorder="1" applyAlignment="1"/>
    <xf numFmtId="0" fontId="12" fillId="0" borderId="0" xfId="7" applyFont="1" applyFill="1" applyBorder="1" applyAlignment="1">
      <alignment horizontal="center"/>
    </xf>
    <xf numFmtId="0" fontId="12" fillId="0" borderId="0" xfId="7" applyFont="1" applyFill="1" applyBorder="1" applyAlignment="1">
      <alignment horizontal="left"/>
    </xf>
    <xf numFmtId="0" fontId="12" fillId="6" borderId="0" xfId="7" applyFont="1" applyFill="1" applyBorder="1" applyAlignment="1">
      <alignment horizontal="center"/>
    </xf>
    <xf numFmtId="0" fontId="12" fillId="6" borderId="0" xfId="7" applyFont="1" applyFill="1" applyBorder="1" applyAlignment="1">
      <alignment horizontal="left"/>
    </xf>
    <xf numFmtId="0" fontId="12" fillId="7" borderId="0" xfId="7" applyFont="1" applyFill="1" applyBorder="1" applyAlignment="1">
      <alignment horizontal="center"/>
    </xf>
    <xf numFmtId="0" fontId="12" fillId="7" borderId="0" xfId="7" applyFont="1" applyFill="1" applyBorder="1" applyAlignment="1">
      <alignment horizontal="left"/>
    </xf>
    <xf numFmtId="0" fontId="12" fillId="5" borderId="0" xfId="7" applyFont="1" applyFill="1" applyBorder="1" applyAlignment="1">
      <alignment horizontal="center"/>
    </xf>
    <xf numFmtId="0" fontId="12" fillId="5" borderId="0" xfId="7" applyFont="1" applyFill="1" applyBorder="1" applyAlignment="1">
      <alignment horizontal="left"/>
    </xf>
    <xf numFmtId="0" fontId="12" fillId="8" borderId="0" xfId="7" applyFont="1" applyFill="1" applyBorder="1" applyAlignment="1">
      <alignment horizontal="center"/>
    </xf>
    <xf numFmtId="0" fontId="12" fillId="8" borderId="0" xfId="7" applyFont="1" applyFill="1" applyBorder="1" applyAlignment="1">
      <alignment horizontal="left"/>
    </xf>
    <xf numFmtId="0" fontId="2" fillId="0" borderId="0" xfId="0" applyNumberFormat="1" applyFont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1" xfId="0" quotePrefix="1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164" fontId="13" fillId="3" borderId="2" xfId="0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vertical="center" wrapText="1"/>
    </xf>
    <xf numFmtId="0" fontId="15" fillId="3" borderId="1" xfId="9" applyFill="1" applyBorder="1" applyAlignment="1">
      <alignment horizontal="center" vertical="center" wrapText="1" shrinkToFit="1"/>
    </xf>
    <xf numFmtId="0" fontId="13" fillId="3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shrinkToFit="1"/>
    </xf>
    <xf numFmtId="164" fontId="13" fillId="3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 shrinkToFit="1"/>
    </xf>
    <xf numFmtId="0" fontId="2" fillId="3" borderId="1" xfId="0" quotePrefix="1" applyFont="1" applyFill="1" applyBorder="1" applyAlignment="1">
      <alignment vertical="center" wrapText="1"/>
    </xf>
    <xf numFmtId="0" fontId="13" fillId="3" borderId="1" xfId="0" quotePrefix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 shrinkToFi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shrinkToFit="1"/>
    </xf>
    <xf numFmtId="0" fontId="8" fillId="4" borderId="0" xfId="4" applyFont="1" applyFill="1" applyBorder="1" applyAlignment="1">
      <alignment horizontal="center"/>
    </xf>
    <xf numFmtId="0" fontId="12" fillId="6" borderId="0" xfId="7" applyFont="1" applyFill="1" applyBorder="1" applyAlignment="1">
      <alignment horizontal="center" vertical="center"/>
    </xf>
    <xf numFmtId="0" fontId="12" fillId="7" borderId="0" xfId="7" applyFont="1" applyFill="1" applyBorder="1" applyAlignment="1">
      <alignment horizontal="center" vertical="center"/>
    </xf>
    <xf numFmtId="0" fontId="12" fillId="5" borderId="0" xfId="7" applyFont="1" applyFill="1" applyBorder="1" applyAlignment="1">
      <alignment horizontal="center" vertical="center"/>
    </xf>
    <xf numFmtId="0" fontId="12" fillId="8" borderId="0" xfId="7" applyFont="1" applyFill="1" applyBorder="1" applyAlignment="1">
      <alignment horizontal="center" vertical="center"/>
    </xf>
  </cellXfs>
  <cellStyles count="10">
    <cellStyle name="Hyperlink" xfId="9" builtinId="8"/>
    <cellStyle name="Normal" xfId="0" builtinId="0"/>
    <cellStyle name="Normal 2" xfId="1"/>
    <cellStyle name="Normal 2 2" xfId="7"/>
    <cellStyle name="Normal 3" xfId="2"/>
    <cellStyle name="Normal 4" xfId="3"/>
    <cellStyle name="Normal 5" xfId="4"/>
    <cellStyle name="Normal 6" xfId="5"/>
    <cellStyle name="Normal 7" xfId="6"/>
    <cellStyle name="Normal 8" xfId="8"/>
  </cellStyles>
  <dxfs count="1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59E2A7EF\SCORING%20MDE%20Komprehensif%20PSPD%20Periode%20XXIII%202409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RUSAN%20PROFESI%20DOKTER\NILAI\NILAI%20MDE%20DAN%20OSCE\5.%20Ujian%20MDE%20&amp;%20OSCE,%20September%202014\DATA%20ASSESSMENT\LAIN-LAIN\ADMINISTRASI\Excell\SCORING%20PROG\PROG%20REKAP%20IA%20(Master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4rih4\Documents\PROGRAM%20STUDI%20DI%20LUAR%20KAMPUS%20UTAMA\AKADEMIK%20-%20PENDIDIKAN%20DAN%20PENGAJARAN\DPNA\201802\FIKOM\C:\URUSAN%20KETENAGAAN\ME\EPSBED\xxx%20RAPAT%20EPSBED\HOME%20BASE%20DOSE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ta\P3D%20Periode%207%20Februari%20-%207%20April%202011\Judicium%207%20Februari%20-%209%20April%202011%20(final)%20setelah%20rapa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ta\Periode%2011%20April%20-11%20Juni%202011\Judicium%2011%20April%20-%2011%20JUni%202011%20Revisi%20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RUSAN%20PROFESI%20DOKTER\NILAI\NILAI%20DEPARTEMEN\data%20Pekerjaan\Jadwal%20PSPD\P3D%202008\Rotasi%20Magang\Nilai_05_06%20P3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ari\H@rie78id\Registrasi\Tahun%202008-2009\Ganjil%2008\Nilai%20Mhs%20Non%20PBL%20Genap%2007-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DE"/>
      <sheetName val="TIA1"/>
      <sheetName val="QW"/>
      <sheetName val="DEP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 COURSE"/>
      <sheetName val="TABEL KATEGORI"/>
      <sheetName val="TABEL ALAMAT"/>
      <sheetName val="TABEL REKAP IA"/>
    </sheetNames>
    <sheetDataSet>
      <sheetData sheetId="0">
        <row r="4">
          <cell r="C4" t="str">
            <v>Fundamentals of Biomedical Science I</v>
          </cell>
          <cell r="F4" t="str">
            <v>Midterm Test</v>
          </cell>
          <cell r="I4" t="str">
            <v>First Year Program</v>
          </cell>
        </row>
        <row r="5">
          <cell r="C5" t="str">
            <v>Fundamentals of Biomedical Science II</v>
          </cell>
          <cell r="F5" t="str">
            <v>Final Test</v>
          </cell>
          <cell r="I5" t="str">
            <v>Second Year Program</v>
          </cell>
        </row>
        <row r="6">
          <cell r="C6" t="str">
            <v>Fundamentals of Biomedical Science III</v>
          </cell>
          <cell r="F6" t="str">
            <v>Comprehensive Test</v>
          </cell>
          <cell r="I6" t="str">
            <v>Third Year Program</v>
          </cell>
        </row>
        <row r="7">
          <cell r="C7" t="str">
            <v>Fundamentals of Biomedical Science IV</v>
          </cell>
          <cell r="F7" t="str">
            <v>Remedial Test</v>
          </cell>
          <cell r="I7" t="str">
            <v>Fourth Year Program</v>
          </cell>
        </row>
        <row r="8">
          <cell r="C8" t="str">
            <v>Fundamentals of Biomedical Science V</v>
          </cell>
          <cell r="F8" t="str">
            <v>MDE - Regular Test</v>
          </cell>
          <cell r="I8" t="str">
            <v>Twinning Program</v>
          </cell>
        </row>
        <row r="9">
          <cell r="C9" t="str">
            <v>Fundamentals of Biomedical Science I-V</v>
          </cell>
          <cell r="F9" t="str">
            <v>MDE - Remedial Test</v>
          </cell>
        </row>
        <row r="10">
          <cell r="C10" t="str">
            <v>Fundamentals of Biomedical Science VI</v>
          </cell>
        </row>
        <row r="11">
          <cell r="C11" t="str">
            <v>Fundamentals of Biomedical Science VII</v>
          </cell>
        </row>
        <row r="12">
          <cell r="C12" t="str">
            <v>Fundamentals of Biomedical Science VIII</v>
          </cell>
        </row>
        <row r="13">
          <cell r="C13" t="str">
            <v>Fundamentals of Biomedical Science IX</v>
          </cell>
        </row>
        <row r="14">
          <cell r="C14" t="str">
            <v>Fundamentals of Biomedical Science X</v>
          </cell>
        </row>
        <row r="15">
          <cell r="C15" t="str">
            <v>Fundamentals of Biomedical Science VI-X</v>
          </cell>
        </row>
        <row r="16">
          <cell r="C16" t="str">
            <v>Religion</v>
          </cell>
          <cell r="F16" t="str">
            <v>2004 - 2005</v>
          </cell>
        </row>
        <row r="17">
          <cell r="C17" t="str">
            <v>Pancasila</v>
          </cell>
          <cell r="F17" t="str">
            <v>2005 - 2006</v>
          </cell>
        </row>
        <row r="18">
          <cell r="C18" t="str">
            <v>Civics</v>
          </cell>
          <cell r="F18" t="str">
            <v>2006 - 2007</v>
          </cell>
        </row>
        <row r="19">
          <cell r="C19" t="str">
            <v>Bioethics &amp; Humanities Program I</v>
          </cell>
          <cell r="F19" t="str">
            <v>2007 - 2008</v>
          </cell>
        </row>
        <row r="20">
          <cell r="C20" t="str">
            <v>Bioethics &amp; Humanities Program II</v>
          </cell>
          <cell r="F20" t="str">
            <v>2008 - 2009</v>
          </cell>
        </row>
        <row r="21">
          <cell r="C21" t="str">
            <v>Bioethics &amp; Humanities Program III</v>
          </cell>
          <cell r="F21" t="str">
            <v>2009 - 2010</v>
          </cell>
        </row>
        <row r="22">
          <cell r="C22" t="str">
            <v>Bioethics &amp; Humanities Program IV</v>
          </cell>
          <cell r="F22" t="str">
            <v>2010 - 2011</v>
          </cell>
        </row>
        <row r="23">
          <cell r="C23" t="str">
            <v>Bioethics &amp; Humanities Program V</v>
          </cell>
        </row>
        <row r="24">
          <cell r="C24" t="str">
            <v>Bioethics &amp; Humanities Program VI</v>
          </cell>
        </row>
        <row r="25">
          <cell r="C25" t="str">
            <v>Bioethics &amp; Humanities Program VII</v>
          </cell>
        </row>
        <row r="26">
          <cell r="C26" t="str">
            <v>Bioethics &amp; Humanities Program VIII</v>
          </cell>
        </row>
        <row r="27">
          <cell r="C27" t="str">
            <v>Public Health Oriented Program I</v>
          </cell>
        </row>
        <row r="28">
          <cell r="C28" t="str">
            <v>Public Health Oriented Program II</v>
          </cell>
        </row>
        <row r="29">
          <cell r="C29" t="str">
            <v>Public Health Oriented Program III</v>
          </cell>
        </row>
        <row r="30">
          <cell r="C30" t="str">
            <v>Public Health Oriented Program IV</v>
          </cell>
        </row>
        <row r="31">
          <cell r="C31" t="str">
            <v>Public Health Oriented Program V</v>
          </cell>
        </row>
        <row r="32">
          <cell r="C32" t="str">
            <v>Public Health Oriented Program VI</v>
          </cell>
        </row>
        <row r="33">
          <cell r="C33" t="str">
            <v>Public Health Oriented Program VII</v>
          </cell>
        </row>
        <row r="34">
          <cell r="C34" t="str">
            <v>Community Research Program I</v>
          </cell>
        </row>
        <row r="35">
          <cell r="C35" t="str">
            <v>Community Research Program II</v>
          </cell>
        </row>
        <row r="36">
          <cell r="C36" t="str">
            <v>Community Research Program III</v>
          </cell>
        </row>
        <row r="37">
          <cell r="C37" t="str">
            <v>Community Research Program IV</v>
          </cell>
        </row>
        <row r="38">
          <cell r="C38" t="str">
            <v>Community Research Program V</v>
          </cell>
        </row>
        <row r="39">
          <cell r="C39" t="str">
            <v>Community Research Program VI</v>
          </cell>
        </row>
        <row r="40">
          <cell r="C40" t="str">
            <v>Community Research Program VII</v>
          </cell>
        </row>
        <row r="41">
          <cell r="C41" t="str">
            <v>Reproductive System</v>
          </cell>
        </row>
        <row r="42">
          <cell r="C42" t="str">
            <v>Neurobehaviour &amp; Special Senses System</v>
          </cell>
        </row>
        <row r="43">
          <cell r="C43" t="str">
            <v>Genitourinary System</v>
          </cell>
        </row>
        <row r="44">
          <cell r="C44" t="str">
            <v>Dermatomusculoskeletal System</v>
          </cell>
        </row>
        <row r="45">
          <cell r="C45" t="str">
            <v>Hematoimmunology System</v>
          </cell>
        </row>
        <row r="46">
          <cell r="C46" t="str">
            <v>Cardiovascular System</v>
          </cell>
        </row>
        <row r="47">
          <cell r="C47" t="str">
            <v>Gastrointestinal System</v>
          </cell>
        </row>
        <row r="48">
          <cell r="C48" t="str">
            <v>Respiratory System</v>
          </cell>
        </row>
        <row r="49">
          <cell r="C49" t="str">
            <v>Endocrine &amp; Metabolism System</v>
          </cell>
        </row>
        <row r="50">
          <cell r="C50" t="str">
            <v>Tropical Medicine</v>
          </cell>
        </row>
      </sheetData>
      <sheetData sheetId="1">
        <row r="10">
          <cell r="B10">
            <v>1</v>
          </cell>
          <cell r="C10">
            <v>2</v>
          </cell>
          <cell r="D10">
            <v>62</v>
          </cell>
          <cell r="E10">
            <v>74</v>
          </cell>
          <cell r="F10">
            <v>75</v>
          </cell>
          <cell r="G10">
            <v>141</v>
          </cell>
          <cell r="H10">
            <v>142</v>
          </cell>
          <cell r="I10">
            <v>146</v>
          </cell>
          <cell r="J10">
            <v>162</v>
          </cell>
          <cell r="K10">
            <v>165</v>
          </cell>
          <cell r="L10">
            <v>170</v>
          </cell>
          <cell r="M10">
            <v>192</v>
          </cell>
        </row>
        <row r="11">
          <cell r="B11">
            <v>2</v>
          </cell>
          <cell r="C11">
            <v>39</v>
          </cell>
          <cell r="D11">
            <v>44</v>
          </cell>
          <cell r="E11">
            <v>70</v>
          </cell>
          <cell r="F11">
            <v>92</v>
          </cell>
          <cell r="G11">
            <v>111</v>
          </cell>
        </row>
        <row r="12">
          <cell r="B12">
            <v>3</v>
          </cell>
          <cell r="C12">
            <v>47</v>
          </cell>
          <cell r="D12">
            <v>50</v>
          </cell>
          <cell r="E12">
            <v>115</v>
          </cell>
          <cell r="F12">
            <v>134</v>
          </cell>
          <cell r="G12">
            <v>168</v>
          </cell>
        </row>
        <row r="13">
          <cell r="B13">
            <v>4</v>
          </cell>
          <cell r="C13">
            <v>3</v>
          </cell>
          <cell r="D13">
            <v>12</v>
          </cell>
          <cell r="E13">
            <v>14</v>
          </cell>
          <cell r="F13">
            <v>19</v>
          </cell>
          <cell r="G13">
            <v>21</v>
          </cell>
          <cell r="H13">
            <v>38</v>
          </cell>
          <cell r="I13">
            <v>49</v>
          </cell>
          <cell r="J13">
            <v>51</v>
          </cell>
          <cell r="K13">
            <v>61</v>
          </cell>
          <cell r="L13">
            <v>65</v>
          </cell>
          <cell r="M13">
            <v>68</v>
          </cell>
          <cell r="N13">
            <v>88</v>
          </cell>
          <cell r="O13">
            <v>106</v>
          </cell>
          <cell r="P13">
            <v>122</v>
          </cell>
          <cell r="Q13">
            <v>140</v>
          </cell>
          <cell r="R13">
            <v>144</v>
          </cell>
          <cell r="S13">
            <v>149</v>
          </cell>
          <cell r="T13">
            <v>152</v>
          </cell>
          <cell r="U13">
            <v>156</v>
          </cell>
          <cell r="V13">
            <v>160</v>
          </cell>
          <cell r="W13">
            <v>167</v>
          </cell>
          <cell r="X13">
            <v>169</v>
          </cell>
          <cell r="Y13">
            <v>171</v>
          </cell>
          <cell r="Z13">
            <v>174</v>
          </cell>
          <cell r="AA13">
            <v>180</v>
          </cell>
          <cell r="AB13">
            <v>188</v>
          </cell>
          <cell r="AC13">
            <v>194</v>
          </cell>
          <cell r="AD13">
            <v>195</v>
          </cell>
        </row>
        <row r="14">
          <cell r="B14">
            <v>5</v>
          </cell>
          <cell r="C14">
            <v>1</v>
          </cell>
          <cell r="D14">
            <v>7</v>
          </cell>
          <cell r="E14">
            <v>8</v>
          </cell>
          <cell r="F14">
            <v>10</v>
          </cell>
          <cell r="G14">
            <v>11</v>
          </cell>
          <cell r="H14">
            <v>15</v>
          </cell>
          <cell r="I14">
            <v>16</v>
          </cell>
          <cell r="J14">
            <v>18</v>
          </cell>
          <cell r="K14">
            <v>30</v>
          </cell>
          <cell r="L14">
            <v>34</v>
          </cell>
          <cell r="M14">
            <v>35</v>
          </cell>
          <cell r="N14">
            <v>36</v>
          </cell>
          <cell r="O14">
            <v>46</v>
          </cell>
          <cell r="P14">
            <v>53</v>
          </cell>
          <cell r="Q14">
            <v>58</v>
          </cell>
          <cell r="R14">
            <v>66</v>
          </cell>
          <cell r="S14">
            <v>67</v>
          </cell>
          <cell r="T14">
            <v>71</v>
          </cell>
          <cell r="U14">
            <v>72</v>
          </cell>
          <cell r="V14">
            <v>77</v>
          </cell>
          <cell r="W14">
            <v>90</v>
          </cell>
          <cell r="X14">
            <v>102</v>
          </cell>
          <cell r="Y14">
            <v>110</v>
          </cell>
          <cell r="Z14">
            <v>126</v>
          </cell>
          <cell r="AA14">
            <v>128</v>
          </cell>
          <cell r="AB14">
            <v>135</v>
          </cell>
          <cell r="AC14">
            <v>137</v>
          </cell>
          <cell r="AD14">
            <v>138</v>
          </cell>
          <cell r="AE14">
            <v>148</v>
          </cell>
          <cell r="AF14">
            <v>157</v>
          </cell>
          <cell r="AG14">
            <v>173</v>
          </cell>
          <cell r="AH14">
            <v>179</v>
          </cell>
          <cell r="AI14">
            <v>186</v>
          </cell>
          <cell r="AJ14">
            <v>190</v>
          </cell>
          <cell r="AK14">
            <v>191</v>
          </cell>
          <cell r="AL14">
            <v>193</v>
          </cell>
        </row>
        <row r="15">
          <cell r="B15">
            <v>6</v>
          </cell>
          <cell r="C15">
            <v>13</v>
          </cell>
          <cell r="D15">
            <v>17</v>
          </cell>
          <cell r="E15">
            <v>20</v>
          </cell>
          <cell r="F15">
            <v>29</v>
          </cell>
          <cell r="G15">
            <v>33</v>
          </cell>
          <cell r="H15">
            <v>40</v>
          </cell>
          <cell r="I15">
            <v>45</v>
          </cell>
          <cell r="J15">
            <v>76</v>
          </cell>
          <cell r="K15">
            <v>79</v>
          </cell>
          <cell r="L15">
            <v>85</v>
          </cell>
          <cell r="M15">
            <v>87</v>
          </cell>
          <cell r="N15">
            <v>89</v>
          </cell>
          <cell r="O15">
            <v>91</v>
          </cell>
          <cell r="P15">
            <v>94</v>
          </cell>
          <cell r="Q15">
            <v>95</v>
          </cell>
          <cell r="R15">
            <v>96</v>
          </cell>
          <cell r="S15">
            <v>97</v>
          </cell>
          <cell r="T15">
            <v>107</v>
          </cell>
          <cell r="U15">
            <v>112</v>
          </cell>
          <cell r="V15">
            <v>116</v>
          </cell>
          <cell r="W15">
            <v>121</v>
          </cell>
          <cell r="X15">
            <v>133</v>
          </cell>
          <cell r="Y15">
            <v>136</v>
          </cell>
          <cell r="Z15">
            <v>139</v>
          </cell>
          <cell r="AA15">
            <v>143</v>
          </cell>
          <cell r="AB15">
            <v>145</v>
          </cell>
          <cell r="AC15">
            <v>147</v>
          </cell>
          <cell r="AD15">
            <v>150</v>
          </cell>
          <cell r="AE15">
            <v>164</v>
          </cell>
          <cell r="AF15">
            <v>166</v>
          </cell>
          <cell r="AG15">
            <v>176</v>
          </cell>
          <cell r="AH15">
            <v>177</v>
          </cell>
          <cell r="AI15">
            <v>181</v>
          </cell>
          <cell r="AJ15">
            <v>183</v>
          </cell>
          <cell r="AK15">
            <v>187</v>
          </cell>
          <cell r="AL15">
            <v>196</v>
          </cell>
          <cell r="AM15">
            <v>197</v>
          </cell>
        </row>
        <row r="16">
          <cell r="B16">
            <v>7</v>
          </cell>
          <cell r="C16">
            <v>4</v>
          </cell>
          <cell r="D16">
            <v>9</v>
          </cell>
          <cell r="E16">
            <v>23</v>
          </cell>
          <cell r="F16">
            <v>25</v>
          </cell>
          <cell r="G16">
            <v>26</v>
          </cell>
          <cell r="H16">
            <v>27</v>
          </cell>
          <cell r="I16">
            <v>31</v>
          </cell>
          <cell r="J16">
            <v>32</v>
          </cell>
          <cell r="K16">
            <v>42</v>
          </cell>
          <cell r="L16">
            <v>43</v>
          </cell>
          <cell r="M16">
            <v>48</v>
          </cell>
          <cell r="N16">
            <v>52</v>
          </cell>
          <cell r="O16">
            <v>54</v>
          </cell>
          <cell r="P16">
            <v>60</v>
          </cell>
          <cell r="Q16">
            <v>63</v>
          </cell>
          <cell r="R16">
            <v>64</v>
          </cell>
          <cell r="S16">
            <v>69</v>
          </cell>
          <cell r="T16">
            <v>81</v>
          </cell>
          <cell r="U16">
            <v>82</v>
          </cell>
          <cell r="V16">
            <v>86</v>
          </cell>
          <cell r="W16">
            <v>93</v>
          </cell>
          <cell r="X16">
            <v>99</v>
          </cell>
          <cell r="Y16">
            <v>105</v>
          </cell>
          <cell r="Z16">
            <v>108</v>
          </cell>
          <cell r="AA16">
            <v>109</v>
          </cell>
          <cell r="AB16">
            <v>113</v>
          </cell>
          <cell r="AC16">
            <v>114</v>
          </cell>
          <cell r="AD16">
            <v>117</v>
          </cell>
          <cell r="AE16">
            <v>118</v>
          </cell>
          <cell r="AF16">
            <v>120</v>
          </cell>
          <cell r="AG16">
            <v>123</v>
          </cell>
          <cell r="AH16">
            <v>125</v>
          </cell>
          <cell r="AI16">
            <v>127</v>
          </cell>
          <cell r="AJ16">
            <v>129</v>
          </cell>
          <cell r="AK16">
            <v>132</v>
          </cell>
          <cell r="AL16">
            <v>151</v>
          </cell>
          <cell r="AM16">
            <v>153</v>
          </cell>
          <cell r="AN16">
            <v>154</v>
          </cell>
          <cell r="AO16">
            <v>155</v>
          </cell>
          <cell r="AP16">
            <v>158</v>
          </cell>
          <cell r="AQ16">
            <v>161</v>
          </cell>
          <cell r="AR16">
            <v>172</v>
          </cell>
          <cell r="AS16">
            <v>175</v>
          </cell>
          <cell r="AT16">
            <v>182</v>
          </cell>
          <cell r="AU16">
            <v>185</v>
          </cell>
          <cell r="AV16">
            <v>189</v>
          </cell>
          <cell r="AW16">
            <v>198</v>
          </cell>
          <cell r="AX16">
            <v>199</v>
          </cell>
          <cell r="AY16">
            <v>200</v>
          </cell>
        </row>
        <row r="17">
          <cell r="B17">
            <v>8</v>
          </cell>
          <cell r="C17">
            <v>5</v>
          </cell>
          <cell r="D17">
            <v>6</v>
          </cell>
          <cell r="E17">
            <v>22</v>
          </cell>
          <cell r="F17">
            <v>24</v>
          </cell>
          <cell r="G17">
            <v>28</v>
          </cell>
          <cell r="H17">
            <v>37</v>
          </cell>
          <cell r="I17">
            <v>41</v>
          </cell>
          <cell r="J17">
            <v>55</v>
          </cell>
          <cell r="K17">
            <v>56</v>
          </cell>
          <cell r="L17">
            <v>57</v>
          </cell>
          <cell r="M17">
            <v>59</v>
          </cell>
          <cell r="N17">
            <v>73</v>
          </cell>
          <cell r="O17">
            <v>78</v>
          </cell>
          <cell r="P17">
            <v>80</v>
          </cell>
          <cell r="Q17">
            <v>83</v>
          </cell>
          <cell r="R17">
            <v>84</v>
          </cell>
          <cell r="S17">
            <v>98</v>
          </cell>
          <cell r="T17">
            <v>100</v>
          </cell>
          <cell r="U17">
            <v>101</v>
          </cell>
          <cell r="V17">
            <v>103</v>
          </cell>
          <cell r="W17">
            <v>104</v>
          </cell>
          <cell r="X17">
            <v>119</v>
          </cell>
          <cell r="Y17">
            <v>124</v>
          </cell>
          <cell r="Z17">
            <v>130</v>
          </cell>
          <cell r="AA17">
            <v>131</v>
          </cell>
          <cell r="AB17">
            <v>159</v>
          </cell>
          <cell r="AC17">
            <v>163</v>
          </cell>
          <cell r="AD17">
            <v>178</v>
          </cell>
          <cell r="AE17">
            <v>184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DOS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SCE+MDE"/>
      <sheetName val="nilai (3)"/>
      <sheetName val="README"/>
      <sheetName val="Sheet1"/>
      <sheetName val="TAbel2"/>
      <sheetName val="GRA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G4">
            <v>0</v>
          </cell>
          <cell r="H4" t="str">
            <v>E</v>
          </cell>
          <cell r="I4">
            <v>0</v>
          </cell>
          <cell r="J4" t="str">
            <v>FAIL</v>
          </cell>
        </row>
        <row r="5">
          <cell r="G5">
            <v>44.5</v>
          </cell>
          <cell r="H5" t="str">
            <v>D</v>
          </cell>
          <cell r="I5">
            <v>1</v>
          </cell>
          <cell r="J5" t="str">
            <v>FAIL</v>
          </cell>
        </row>
        <row r="6">
          <cell r="G6">
            <v>55.5</v>
          </cell>
          <cell r="H6" t="str">
            <v>C</v>
          </cell>
          <cell r="I6">
            <v>2</v>
          </cell>
          <cell r="J6" t="str">
            <v>FAIL</v>
          </cell>
        </row>
        <row r="7">
          <cell r="G7">
            <v>67.5</v>
          </cell>
          <cell r="H7" t="str">
            <v>B</v>
          </cell>
          <cell r="I7">
            <v>3</v>
          </cell>
          <cell r="J7" t="str">
            <v>PASS</v>
          </cell>
        </row>
        <row r="8">
          <cell r="G8">
            <v>71.5</v>
          </cell>
          <cell r="H8" t="str">
            <v>B+</v>
          </cell>
          <cell r="I8">
            <v>3.25</v>
          </cell>
          <cell r="J8" t="str">
            <v>PASS</v>
          </cell>
        </row>
        <row r="9">
          <cell r="G9">
            <v>75.5</v>
          </cell>
          <cell r="H9" t="str">
            <v>B++</v>
          </cell>
          <cell r="I9">
            <v>3.5</v>
          </cell>
          <cell r="J9" t="str">
            <v>PASS</v>
          </cell>
        </row>
        <row r="10">
          <cell r="G10">
            <v>79.5</v>
          </cell>
          <cell r="H10" t="str">
            <v>A</v>
          </cell>
          <cell r="I10">
            <v>4</v>
          </cell>
          <cell r="J10" t="str">
            <v>PASS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SCE+MDE"/>
      <sheetName val="nilai (3)"/>
      <sheetName val="README"/>
      <sheetName val="Sheet1"/>
      <sheetName val="TAbel2"/>
      <sheetName val="GRA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G4">
            <v>0</v>
          </cell>
          <cell r="H4" t="str">
            <v>E</v>
          </cell>
          <cell r="I4">
            <v>0</v>
          </cell>
          <cell r="J4" t="str">
            <v>FAIL</v>
          </cell>
        </row>
        <row r="5">
          <cell r="G5">
            <v>44.5</v>
          </cell>
          <cell r="H5" t="str">
            <v>D</v>
          </cell>
          <cell r="I5">
            <v>1</v>
          </cell>
          <cell r="J5" t="str">
            <v>FAIL</v>
          </cell>
        </row>
        <row r="6">
          <cell r="G6">
            <v>55.5</v>
          </cell>
          <cell r="H6" t="str">
            <v>C</v>
          </cell>
          <cell r="I6">
            <v>2</v>
          </cell>
          <cell r="J6" t="str">
            <v>FAIL</v>
          </cell>
        </row>
        <row r="7">
          <cell r="G7">
            <v>67.5</v>
          </cell>
          <cell r="H7" t="str">
            <v>B</v>
          </cell>
          <cell r="I7">
            <v>3</v>
          </cell>
          <cell r="J7" t="str">
            <v>PASS</v>
          </cell>
        </row>
        <row r="8">
          <cell r="G8">
            <v>71.5</v>
          </cell>
          <cell r="H8" t="str">
            <v>B+</v>
          </cell>
          <cell r="I8">
            <v>3.25</v>
          </cell>
          <cell r="J8" t="str">
            <v>PASS</v>
          </cell>
        </row>
        <row r="9">
          <cell r="G9">
            <v>75.5</v>
          </cell>
          <cell r="H9" t="str">
            <v>B++</v>
          </cell>
          <cell r="I9">
            <v>3.5</v>
          </cell>
          <cell r="J9" t="str">
            <v>PASS</v>
          </cell>
        </row>
        <row r="10">
          <cell r="G10">
            <v>79.5</v>
          </cell>
          <cell r="H10" t="str">
            <v>A</v>
          </cell>
          <cell r="I10">
            <v>4</v>
          </cell>
          <cell r="J10" t="str">
            <v>PASS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.Nilai"/>
      <sheetName val="KONVERSI"/>
      <sheetName val="HITUNG I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ffani"/>
      <sheetName val="NILAI tempel"/>
      <sheetName val="TERSISA"/>
      <sheetName val="UMUMKAN"/>
      <sheetName val="Transkrip (personal)"/>
      <sheetName val="NILAI"/>
      <sheetName val="LAPORAN JUDICIUM"/>
      <sheetName val="KRS"/>
      <sheetName val="Clearing House Genap 07"/>
      <sheetName val="Daftar Hadir"/>
      <sheetName val="TELEPON "/>
      <sheetName val="TERSISA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D1" t="str">
            <v>C1099</v>
          </cell>
          <cell r="E1" t="str">
            <v>XVIII (delapan belas)</v>
          </cell>
        </row>
        <row r="2">
          <cell r="D2" t="str">
            <v>C1000</v>
          </cell>
          <cell r="E2" t="str">
            <v>XVI (enam belas)</v>
          </cell>
        </row>
        <row r="3">
          <cell r="D3" t="str">
            <v>C1001</v>
          </cell>
          <cell r="E3" t="str">
            <v>XIV (empat belas)</v>
          </cell>
        </row>
        <row r="4">
          <cell r="D4" t="str">
            <v>C1002</v>
          </cell>
          <cell r="E4" t="str">
            <v>XII (dua belas)</v>
          </cell>
        </row>
        <row r="5">
          <cell r="D5" t="str">
            <v>C1003</v>
          </cell>
          <cell r="E5" t="str">
            <v>X (sepuluh)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.sribudiani@unpad.ac.id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okky.husain@gmail.com" TargetMode="External"/><Relationship Id="rId1" Type="http://schemas.openxmlformats.org/officeDocument/2006/relationships/hyperlink" Target="mailto:reza.rinaldy.harahap@unpad.ac.id" TargetMode="External"/><Relationship Id="rId6" Type="http://schemas.openxmlformats.org/officeDocument/2006/relationships/hyperlink" Target="mailto:andi.rinaldi@unpad.ac.id" TargetMode="External"/><Relationship Id="rId5" Type="http://schemas.openxmlformats.org/officeDocument/2006/relationships/hyperlink" Target="mailto:eppy.darmadi@unpad.ac.id" TargetMode="External"/><Relationship Id="rId4" Type="http://schemas.openxmlformats.org/officeDocument/2006/relationships/hyperlink" Target="mailto:yunisa.pamela@unpad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9"/>
  <sheetViews>
    <sheetView tabSelected="1" zoomScale="80" zoomScaleNormal="80" workbookViewId="0">
      <pane ySplit="5" topLeftCell="A261" activePane="bottomLeft" state="frozen"/>
      <selection pane="bottomLeft" activeCell="N272" sqref="N272"/>
    </sheetView>
  </sheetViews>
  <sheetFormatPr defaultColWidth="10.77734375" defaultRowHeight="13.8"/>
  <cols>
    <col min="1" max="1" width="5" style="3" customWidth="1"/>
    <col min="2" max="2" width="18" style="29" customWidth="1"/>
    <col min="3" max="3" width="15.21875" style="3" customWidth="1"/>
    <col min="4" max="4" width="34.77734375" style="7" customWidth="1"/>
    <col min="5" max="5" width="34.21875" style="3" customWidth="1"/>
    <col min="6" max="6" width="18.21875" style="1" customWidth="1"/>
    <col min="7" max="7" width="16.21875" style="1" customWidth="1"/>
    <col min="8" max="8" width="10.44140625" style="1" customWidth="1"/>
    <col min="9" max="9" width="15.77734375" style="1" customWidth="1"/>
    <col min="10" max="10" width="20.109375" style="1" customWidth="1"/>
    <col min="11" max="11" width="15" style="1" customWidth="1"/>
    <col min="12" max="12" width="74.77734375" style="3" customWidth="1"/>
    <col min="13" max="13" width="38.109375" style="3" bestFit="1" customWidth="1"/>
    <col min="14" max="14" width="20.44140625" style="1" bestFit="1" customWidth="1"/>
    <col min="15" max="15" width="20.21875" style="1" bestFit="1" customWidth="1"/>
    <col min="16" max="16384" width="10.77734375" style="3"/>
  </cols>
  <sheetData>
    <row r="1" spans="1:15" ht="18">
      <c r="A1" s="2" t="s">
        <v>0</v>
      </c>
      <c r="I1" s="5"/>
      <c r="J1" s="5"/>
    </row>
    <row r="2" spans="1:15" ht="18">
      <c r="A2" s="2" t="s">
        <v>1</v>
      </c>
      <c r="I2" s="5"/>
      <c r="J2" s="5"/>
    </row>
    <row r="3" spans="1:15">
      <c r="A3" s="4" t="s">
        <v>2</v>
      </c>
      <c r="B3" s="14">
        <f ca="1">TODAY()</f>
        <v>46232</v>
      </c>
      <c r="E3" s="1"/>
      <c r="L3" s="1"/>
      <c r="M3" s="1"/>
    </row>
    <row r="4" spans="1:15" ht="19.95" customHeight="1">
      <c r="A4" s="44" t="s">
        <v>3</v>
      </c>
      <c r="B4" s="49" t="s">
        <v>5</v>
      </c>
      <c r="C4" s="44" t="s">
        <v>2052</v>
      </c>
      <c r="D4" s="50" t="s">
        <v>4</v>
      </c>
      <c r="E4" s="44" t="s">
        <v>6</v>
      </c>
      <c r="F4" s="44" t="s">
        <v>8</v>
      </c>
      <c r="G4" s="44" t="s">
        <v>702</v>
      </c>
      <c r="H4" s="44" t="s">
        <v>9</v>
      </c>
      <c r="I4" s="46" t="s">
        <v>1822</v>
      </c>
      <c r="J4" s="45" t="s">
        <v>703</v>
      </c>
      <c r="K4" s="44" t="s">
        <v>704</v>
      </c>
      <c r="L4" s="48" t="s">
        <v>705</v>
      </c>
      <c r="M4" s="44" t="s">
        <v>706</v>
      </c>
      <c r="N4" s="44" t="s">
        <v>707</v>
      </c>
      <c r="O4" s="44" t="s">
        <v>708</v>
      </c>
    </row>
    <row r="5" spans="1:15" s="1" customFormat="1" ht="15" customHeight="1">
      <c r="A5" s="44"/>
      <c r="B5" s="49"/>
      <c r="C5" s="44"/>
      <c r="D5" s="50"/>
      <c r="E5" s="44"/>
      <c r="F5" s="44"/>
      <c r="G5" s="44"/>
      <c r="H5" s="44"/>
      <c r="I5" s="47"/>
      <c r="J5" s="45"/>
      <c r="K5" s="44"/>
      <c r="L5" s="48"/>
      <c r="M5" s="44"/>
      <c r="N5" s="44"/>
      <c r="O5" s="44"/>
    </row>
    <row r="6" spans="1:15" s="6" customFormat="1" ht="13.05" customHeight="1">
      <c r="A6" s="8">
        <v>1</v>
      </c>
      <c r="B6" s="30" t="s">
        <v>132</v>
      </c>
      <c r="C6" s="10" t="s">
        <v>2372</v>
      </c>
      <c r="D6" s="13" t="s">
        <v>131</v>
      </c>
      <c r="E6" s="9" t="s">
        <v>31</v>
      </c>
      <c r="F6" s="9" t="s">
        <v>29</v>
      </c>
      <c r="G6" s="9" t="s">
        <v>25</v>
      </c>
      <c r="H6" s="9" t="s">
        <v>15</v>
      </c>
      <c r="I6" s="15" t="s">
        <v>1863</v>
      </c>
      <c r="J6" s="11">
        <v>23865</v>
      </c>
      <c r="K6" s="9" t="str">
        <f ca="1">DATEDIF(J6,$B$3,"Y")&amp;" tahun, "&amp;DATEDIF(J6,$B$3,"Ym")&amp;" bulan"</f>
        <v>61 tahun, 2 bulan</v>
      </c>
      <c r="L6" s="12" t="s">
        <v>1614</v>
      </c>
      <c r="M6" s="12" t="s">
        <v>1615</v>
      </c>
      <c r="N6" s="12"/>
      <c r="O6" s="12" t="s">
        <v>1616</v>
      </c>
    </row>
    <row r="7" spans="1:15" s="6" customFormat="1" ht="13.05" customHeight="1">
      <c r="A7" s="8">
        <v>2</v>
      </c>
      <c r="B7" s="30" t="s">
        <v>683</v>
      </c>
      <c r="C7" s="10" t="s">
        <v>2403</v>
      </c>
      <c r="D7" s="13" t="s">
        <v>232</v>
      </c>
      <c r="E7" s="9" t="s">
        <v>31</v>
      </c>
      <c r="F7" s="9" t="s">
        <v>29</v>
      </c>
      <c r="G7" s="9" t="s">
        <v>25</v>
      </c>
      <c r="H7" s="9" t="s">
        <v>15</v>
      </c>
      <c r="I7" s="15" t="s">
        <v>1889</v>
      </c>
      <c r="J7" s="11">
        <v>25123</v>
      </c>
      <c r="K7" s="9" t="str">
        <f t="shared" ref="K7:K68" ca="1" si="0">DATEDIF(J7,$B$3,"Y")&amp;" tahun, "&amp;DATEDIF(J7,$B$3,"Ym")&amp;" bulan"</f>
        <v>57 tahun, 9 bulan</v>
      </c>
      <c r="L7" s="12"/>
      <c r="M7" s="12"/>
      <c r="N7" s="12"/>
      <c r="O7" s="12"/>
    </row>
    <row r="8" spans="1:15" s="6" customFormat="1" ht="13.05" customHeight="1">
      <c r="A8" s="8">
        <v>3</v>
      </c>
      <c r="B8" s="30" t="s">
        <v>213</v>
      </c>
      <c r="C8" s="10" t="s">
        <v>2387</v>
      </c>
      <c r="D8" s="13" t="s">
        <v>212</v>
      </c>
      <c r="E8" s="9" t="s">
        <v>31</v>
      </c>
      <c r="F8" s="9" t="s">
        <v>29</v>
      </c>
      <c r="G8" s="9" t="s">
        <v>25</v>
      </c>
      <c r="H8" s="9" t="s">
        <v>15</v>
      </c>
      <c r="I8" s="15" t="s">
        <v>1825</v>
      </c>
      <c r="J8" s="11">
        <v>25254</v>
      </c>
      <c r="K8" s="9" t="str">
        <f t="shared" ca="1" si="0"/>
        <v>57 tahun, 5 bulan</v>
      </c>
      <c r="L8" s="12" t="s">
        <v>1526</v>
      </c>
      <c r="M8" s="12" t="s">
        <v>1527</v>
      </c>
      <c r="N8" s="12"/>
      <c r="O8" s="12" t="s">
        <v>1528</v>
      </c>
    </row>
    <row r="9" spans="1:15" s="6" customFormat="1" ht="13.05" customHeight="1">
      <c r="A9" s="8">
        <v>4</v>
      </c>
      <c r="B9" s="30" t="s">
        <v>275</v>
      </c>
      <c r="C9" s="10" t="s">
        <v>2234</v>
      </c>
      <c r="D9" s="13" t="s">
        <v>274</v>
      </c>
      <c r="E9" s="9" t="s">
        <v>31</v>
      </c>
      <c r="F9" s="9" t="s">
        <v>29</v>
      </c>
      <c r="G9" s="9" t="s">
        <v>25</v>
      </c>
      <c r="H9" s="9" t="s">
        <v>15</v>
      </c>
      <c r="I9" s="15" t="s">
        <v>1825</v>
      </c>
      <c r="J9" s="11">
        <v>26231</v>
      </c>
      <c r="K9" s="9" t="str">
        <f t="shared" ca="1" si="0"/>
        <v>54 tahun, 9 bulan</v>
      </c>
      <c r="L9" s="12" t="s">
        <v>1766</v>
      </c>
      <c r="M9" s="12" t="s">
        <v>1767</v>
      </c>
      <c r="N9" s="12"/>
      <c r="O9" s="12"/>
    </row>
    <row r="10" spans="1:15" s="6" customFormat="1" ht="13.05" customHeight="1">
      <c r="A10" s="8">
        <v>5</v>
      </c>
      <c r="B10" s="30" t="s">
        <v>281</v>
      </c>
      <c r="C10" s="10" t="s">
        <v>2232</v>
      </c>
      <c r="D10" s="13" t="s">
        <v>280</v>
      </c>
      <c r="E10" s="9" t="s">
        <v>31</v>
      </c>
      <c r="F10" s="9" t="s">
        <v>2397</v>
      </c>
      <c r="G10" s="9" t="s">
        <v>25</v>
      </c>
      <c r="H10" s="9" t="s">
        <v>15</v>
      </c>
      <c r="I10" s="15" t="s">
        <v>1825</v>
      </c>
      <c r="J10" s="11">
        <v>26276</v>
      </c>
      <c r="K10" s="9" t="str">
        <f t="shared" ca="1" si="0"/>
        <v>54 tahun, 7 bulan</v>
      </c>
      <c r="L10" s="12" t="s">
        <v>834</v>
      </c>
      <c r="M10" s="12" t="s">
        <v>835</v>
      </c>
      <c r="N10" s="12" t="s">
        <v>836</v>
      </c>
      <c r="O10" s="12" t="s">
        <v>837</v>
      </c>
    </row>
    <row r="11" spans="1:15" s="6" customFormat="1" ht="13.05" customHeight="1">
      <c r="A11" s="8">
        <v>6</v>
      </c>
      <c r="B11" s="30" t="s">
        <v>687</v>
      </c>
      <c r="C11" s="10" t="s">
        <v>2384</v>
      </c>
      <c r="D11" s="13" t="s">
        <v>2047</v>
      </c>
      <c r="E11" s="9" t="s">
        <v>31</v>
      </c>
      <c r="F11" s="9" t="s">
        <v>2397</v>
      </c>
      <c r="G11" s="9" t="s">
        <v>25</v>
      </c>
      <c r="H11" s="9" t="s">
        <v>15</v>
      </c>
      <c r="I11" s="15" t="s">
        <v>1825</v>
      </c>
      <c r="J11" s="11">
        <v>26353</v>
      </c>
      <c r="K11" s="9" t="str">
        <f t="shared" ca="1" si="0"/>
        <v>54 tahun, 5 bulan</v>
      </c>
      <c r="L11" s="12" t="s">
        <v>838</v>
      </c>
      <c r="M11" s="12" t="s">
        <v>839</v>
      </c>
      <c r="N11" s="12"/>
      <c r="O11" s="12"/>
    </row>
    <row r="12" spans="1:15" s="6" customFormat="1" ht="13.05" customHeight="1">
      <c r="A12" s="8">
        <v>7</v>
      </c>
      <c r="B12" s="30" t="s">
        <v>329</v>
      </c>
      <c r="C12" s="10" t="s">
        <v>2218</v>
      </c>
      <c r="D12" s="13" t="s">
        <v>993</v>
      </c>
      <c r="E12" s="9" t="s">
        <v>31</v>
      </c>
      <c r="F12" s="9" t="s">
        <v>2397</v>
      </c>
      <c r="G12" s="9" t="s">
        <v>25</v>
      </c>
      <c r="H12" s="9" t="s">
        <v>15</v>
      </c>
      <c r="I12" s="15" t="s">
        <v>1825</v>
      </c>
      <c r="J12" s="11">
        <v>27320</v>
      </c>
      <c r="K12" s="9" t="str">
        <f t="shared" ca="1" si="0"/>
        <v>51 tahun, 9 bulan</v>
      </c>
      <c r="L12" s="12" t="s">
        <v>994</v>
      </c>
      <c r="M12" s="12" t="s">
        <v>995</v>
      </c>
      <c r="N12" s="12" t="s">
        <v>996</v>
      </c>
      <c r="O12" s="12" t="s">
        <v>997</v>
      </c>
    </row>
    <row r="13" spans="1:15" s="6" customFormat="1" ht="13.05" customHeight="1">
      <c r="A13" s="8">
        <v>8</v>
      </c>
      <c r="B13" s="30" t="s">
        <v>338</v>
      </c>
      <c r="C13" s="10" t="s">
        <v>2091</v>
      </c>
      <c r="D13" s="13" t="s">
        <v>337</v>
      </c>
      <c r="E13" s="9" t="s">
        <v>31</v>
      </c>
      <c r="F13" s="9" t="s">
        <v>29</v>
      </c>
      <c r="G13" s="9" t="s">
        <v>25</v>
      </c>
      <c r="H13" s="9" t="s">
        <v>15</v>
      </c>
      <c r="I13" s="15" t="s">
        <v>1859</v>
      </c>
      <c r="J13" s="11">
        <v>27403</v>
      </c>
      <c r="K13" s="9" t="str">
        <f t="shared" ca="1" si="0"/>
        <v>51 tahun, 6 bulan</v>
      </c>
      <c r="L13" s="12"/>
      <c r="M13" s="12" t="s">
        <v>1653</v>
      </c>
      <c r="N13" s="12"/>
      <c r="O13" s="12"/>
    </row>
    <row r="14" spans="1:15" s="6" customFormat="1" ht="13.05" customHeight="1">
      <c r="A14" s="8">
        <v>9</v>
      </c>
      <c r="B14" s="30" t="s">
        <v>434</v>
      </c>
      <c r="C14" s="10" t="s">
        <v>2345</v>
      </c>
      <c r="D14" s="13" t="s">
        <v>433</v>
      </c>
      <c r="E14" s="9" t="s">
        <v>31</v>
      </c>
      <c r="F14" s="9" t="s">
        <v>29</v>
      </c>
      <c r="G14" s="9" t="s">
        <v>25</v>
      </c>
      <c r="H14" s="9" t="s">
        <v>13</v>
      </c>
      <c r="I14" s="15" t="s">
        <v>1825</v>
      </c>
      <c r="J14" s="11">
        <v>28542</v>
      </c>
      <c r="K14" s="9" t="str">
        <f t="shared" ca="1" si="0"/>
        <v>48 tahun, 5 bulan</v>
      </c>
      <c r="L14" s="12"/>
      <c r="M14" s="12" t="s">
        <v>1798</v>
      </c>
      <c r="N14" s="12"/>
      <c r="O14" s="12"/>
    </row>
    <row r="15" spans="1:15" s="6" customFormat="1" ht="13.05" customHeight="1">
      <c r="A15" s="8">
        <v>10</v>
      </c>
      <c r="B15" s="30" t="s">
        <v>442</v>
      </c>
      <c r="C15" s="10" t="s">
        <v>2235</v>
      </c>
      <c r="D15" s="13" t="s">
        <v>441</v>
      </c>
      <c r="E15" s="9" t="s">
        <v>31</v>
      </c>
      <c r="F15" s="9" t="s">
        <v>29</v>
      </c>
      <c r="G15" s="9" t="s">
        <v>25</v>
      </c>
      <c r="H15" s="9" t="s">
        <v>15</v>
      </c>
      <c r="I15" s="15" t="s">
        <v>1881</v>
      </c>
      <c r="J15" s="11">
        <v>28656</v>
      </c>
      <c r="K15" s="9" t="str">
        <f t="shared" ca="1" si="0"/>
        <v>48 tahun, 1 bulan</v>
      </c>
      <c r="L15" s="12" t="s">
        <v>1679</v>
      </c>
      <c r="M15" s="12" t="s">
        <v>1680</v>
      </c>
      <c r="N15" s="12"/>
      <c r="O15" s="12"/>
    </row>
    <row r="16" spans="1:15" s="6" customFormat="1" ht="13.05" customHeight="1">
      <c r="A16" s="8">
        <v>11</v>
      </c>
      <c r="B16" s="30" t="s">
        <v>459</v>
      </c>
      <c r="C16" s="41" t="s">
        <v>2596</v>
      </c>
      <c r="D16" s="13" t="s">
        <v>458</v>
      </c>
      <c r="E16" s="9" t="s">
        <v>31</v>
      </c>
      <c r="F16" s="9" t="s">
        <v>29</v>
      </c>
      <c r="G16" s="9" t="s">
        <v>25</v>
      </c>
      <c r="H16" s="9" t="s">
        <v>15</v>
      </c>
      <c r="I16" s="15" t="s">
        <v>1903</v>
      </c>
      <c r="J16" s="11">
        <v>28843</v>
      </c>
      <c r="K16" s="9" t="str">
        <f t="shared" ca="1" si="0"/>
        <v>47 tahun, 7 bulan</v>
      </c>
      <c r="L16" s="12"/>
      <c r="M16" s="12" t="s">
        <v>1688</v>
      </c>
      <c r="N16" s="12"/>
      <c r="O16" s="12"/>
    </row>
    <row r="17" spans="1:15" s="6" customFormat="1" ht="13.05" customHeight="1">
      <c r="A17" s="8">
        <v>12</v>
      </c>
      <c r="B17" s="30" t="s">
        <v>463</v>
      </c>
      <c r="C17" s="10" t="s">
        <v>2386</v>
      </c>
      <c r="D17" s="13" t="s">
        <v>462</v>
      </c>
      <c r="E17" s="9" t="s">
        <v>31</v>
      </c>
      <c r="F17" s="9" t="s">
        <v>2397</v>
      </c>
      <c r="G17" s="9" t="s">
        <v>25</v>
      </c>
      <c r="H17" s="9" t="s">
        <v>15</v>
      </c>
      <c r="I17" s="15" t="s">
        <v>1838</v>
      </c>
      <c r="J17" s="11">
        <v>28865</v>
      </c>
      <c r="K17" s="9" t="str">
        <f t="shared" ca="1" si="0"/>
        <v>47 tahun, 6 bulan</v>
      </c>
      <c r="L17" s="12" t="s">
        <v>1095</v>
      </c>
      <c r="M17" s="12" t="s">
        <v>1096</v>
      </c>
      <c r="N17" s="12" t="s">
        <v>1097</v>
      </c>
      <c r="O17" s="12" t="s">
        <v>1098</v>
      </c>
    </row>
    <row r="18" spans="1:15" s="6" customFormat="1" ht="13.05" customHeight="1">
      <c r="A18" s="8">
        <v>13</v>
      </c>
      <c r="B18" s="30" t="s">
        <v>483</v>
      </c>
      <c r="C18" s="10" t="s">
        <v>2385</v>
      </c>
      <c r="D18" s="13" t="s">
        <v>482</v>
      </c>
      <c r="E18" s="9" t="s">
        <v>31</v>
      </c>
      <c r="F18" s="9" t="s">
        <v>2397</v>
      </c>
      <c r="G18" s="9" t="s">
        <v>25</v>
      </c>
      <c r="H18" s="9" t="s">
        <v>13</v>
      </c>
      <c r="I18" s="15" t="s">
        <v>1825</v>
      </c>
      <c r="J18" s="11">
        <v>29039</v>
      </c>
      <c r="K18" s="9" t="str">
        <f t="shared" ca="1" si="0"/>
        <v>47 tahun, 0 bulan</v>
      </c>
      <c r="L18" s="12" t="s">
        <v>869</v>
      </c>
      <c r="M18" s="12" t="s">
        <v>870</v>
      </c>
      <c r="N18" s="12" t="s">
        <v>871</v>
      </c>
      <c r="O18" s="12" t="s">
        <v>872</v>
      </c>
    </row>
    <row r="19" spans="1:15" s="6" customFormat="1" ht="13.05" customHeight="1">
      <c r="A19" s="8">
        <v>14</v>
      </c>
      <c r="B19" s="30" t="s">
        <v>495</v>
      </c>
      <c r="C19" s="10" t="s">
        <v>2100</v>
      </c>
      <c r="D19" s="13" t="s">
        <v>494</v>
      </c>
      <c r="E19" s="9" t="s">
        <v>31</v>
      </c>
      <c r="F19" s="9" t="s">
        <v>29</v>
      </c>
      <c r="G19" s="9" t="s">
        <v>25</v>
      </c>
      <c r="H19" s="9" t="s">
        <v>13</v>
      </c>
      <c r="I19" s="15" t="s">
        <v>1906</v>
      </c>
      <c r="J19" s="11">
        <v>29225</v>
      </c>
      <c r="K19" s="9" t="str">
        <f t="shared" ca="1" si="0"/>
        <v>46 tahun, 6 bulan</v>
      </c>
      <c r="L19" s="12"/>
      <c r="M19" s="12"/>
      <c r="N19" s="12"/>
      <c r="O19" s="12"/>
    </row>
    <row r="20" spans="1:15" s="6" customFormat="1" ht="13.05" customHeight="1">
      <c r="A20" s="8">
        <v>15</v>
      </c>
      <c r="B20" s="30" t="s">
        <v>502</v>
      </c>
      <c r="C20" s="10" t="s">
        <v>2236</v>
      </c>
      <c r="D20" s="13" t="s">
        <v>501</v>
      </c>
      <c r="E20" s="9" t="s">
        <v>31</v>
      </c>
      <c r="F20" s="9" t="s">
        <v>29</v>
      </c>
      <c r="G20" s="9" t="s">
        <v>25</v>
      </c>
      <c r="H20" s="9" t="s">
        <v>15</v>
      </c>
      <c r="I20" s="15" t="s">
        <v>1825</v>
      </c>
      <c r="J20" s="11">
        <v>29287</v>
      </c>
      <c r="K20" s="9" t="str">
        <f t="shared" ca="1" si="0"/>
        <v>46 tahun, 4 bulan</v>
      </c>
      <c r="L20" s="12" t="s">
        <v>1699</v>
      </c>
      <c r="M20" s="12" t="s">
        <v>1700</v>
      </c>
      <c r="N20" s="12"/>
      <c r="O20" s="12"/>
    </row>
    <row r="21" spans="1:15" s="6" customFormat="1" ht="13.05" customHeight="1">
      <c r="A21" s="8">
        <v>16</v>
      </c>
      <c r="B21" s="30" t="s">
        <v>530</v>
      </c>
      <c r="C21" s="10" t="s">
        <v>2237</v>
      </c>
      <c r="D21" s="13" t="s">
        <v>529</v>
      </c>
      <c r="E21" s="9" t="s">
        <v>31</v>
      </c>
      <c r="F21" s="9" t="s">
        <v>29</v>
      </c>
      <c r="G21" s="9" t="s">
        <v>25</v>
      </c>
      <c r="H21" s="9" t="s">
        <v>15</v>
      </c>
      <c r="I21" s="15" t="s">
        <v>1825</v>
      </c>
      <c r="J21" s="11">
        <v>29691</v>
      </c>
      <c r="K21" s="9" t="str">
        <f t="shared" ca="1" si="0"/>
        <v>45 tahun, 3 bulan</v>
      </c>
      <c r="L21" s="12" t="s">
        <v>1704</v>
      </c>
      <c r="M21" s="12" t="s">
        <v>1705</v>
      </c>
      <c r="N21" s="12"/>
      <c r="O21" s="12" t="s">
        <v>1706</v>
      </c>
    </row>
    <row r="22" spans="1:15" s="6" customFormat="1" ht="13.05" customHeight="1">
      <c r="A22" s="8">
        <v>17</v>
      </c>
      <c r="B22" s="30" t="s">
        <v>571</v>
      </c>
      <c r="C22" s="10" t="s">
        <v>2130</v>
      </c>
      <c r="D22" s="13" t="s">
        <v>1936</v>
      </c>
      <c r="E22" s="9" t="s">
        <v>31</v>
      </c>
      <c r="F22" s="9" t="s">
        <v>2397</v>
      </c>
      <c r="G22" s="9" t="s">
        <v>25</v>
      </c>
      <c r="H22" s="9" t="s">
        <v>13</v>
      </c>
      <c r="I22" s="15" t="s">
        <v>1825</v>
      </c>
      <c r="J22" s="11">
        <v>30645</v>
      </c>
      <c r="K22" s="9" t="str">
        <f t="shared" ca="1" si="0"/>
        <v>42 tahun, 8 bulan</v>
      </c>
      <c r="L22" s="12" t="s">
        <v>1274</v>
      </c>
      <c r="M22" s="12" t="s">
        <v>1275</v>
      </c>
      <c r="N22" s="12" t="s">
        <v>1276</v>
      </c>
      <c r="O22" s="12" t="s">
        <v>1277</v>
      </c>
    </row>
    <row r="23" spans="1:15" s="6" customFormat="1" ht="13.05" customHeight="1">
      <c r="A23" s="8">
        <v>18</v>
      </c>
      <c r="B23" s="30" t="s">
        <v>582</v>
      </c>
      <c r="C23" s="10" t="s">
        <v>2183</v>
      </c>
      <c r="D23" s="13" t="s">
        <v>581</v>
      </c>
      <c r="E23" s="9" t="s">
        <v>31</v>
      </c>
      <c r="F23" s="9" t="s">
        <v>29</v>
      </c>
      <c r="G23" s="9" t="s">
        <v>25</v>
      </c>
      <c r="H23" s="9" t="s">
        <v>13</v>
      </c>
      <c r="I23" s="15" t="s">
        <v>1825</v>
      </c>
      <c r="J23" s="11">
        <v>30768</v>
      </c>
      <c r="K23" s="9" t="str">
        <f t="shared" ca="1" si="0"/>
        <v>42 tahun, 4 bulan</v>
      </c>
      <c r="L23" s="12"/>
      <c r="M23" s="12"/>
      <c r="N23" s="12"/>
      <c r="O23" s="12"/>
    </row>
    <row r="24" spans="1:15" s="6" customFormat="1" ht="13.05" customHeight="1">
      <c r="A24" s="8">
        <v>19</v>
      </c>
      <c r="B24" s="30" t="s">
        <v>1921</v>
      </c>
      <c r="C24" s="10" t="s">
        <v>2156</v>
      </c>
      <c r="D24" s="13" t="s">
        <v>609</v>
      </c>
      <c r="E24" s="9" t="s">
        <v>31</v>
      </c>
      <c r="F24" s="9" t="s">
        <v>29</v>
      </c>
      <c r="G24" s="9" t="s">
        <v>25</v>
      </c>
      <c r="H24" s="9" t="s">
        <v>290</v>
      </c>
      <c r="I24" s="15" t="s">
        <v>1825</v>
      </c>
      <c r="J24" s="11">
        <v>31291</v>
      </c>
      <c r="K24" s="9" t="str">
        <f t="shared" ca="1" si="0"/>
        <v>40 tahun, 10 bulan</v>
      </c>
      <c r="L24" s="12"/>
      <c r="M24" s="12"/>
      <c r="N24" s="12"/>
      <c r="O24" s="12"/>
    </row>
    <row r="25" spans="1:15" s="6" customFormat="1" ht="13.05" customHeight="1">
      <c r="A25" s="8">
        <v>20</v>
      </c>
      <c r="B25" s="30" t="s">
        <v>614</v>
      </c>
      <c r="C25" s="10" t="s">
        <v>2230</v>
      </c>
      <c r="D25" s="13" t="s">
        <v>613</v>
      </c>
      <c r="E25" s="9" t="s">
        <v>31</v>
      </c>
      <c r="F25" s="9" t="s">
        <v>29</v>
      </c>
      <c r="G25" s="9" t="s">
        <v>25</v>
      </c>
      <c r="H25" s="9" t="s">
        <v>290</v>
      </c>
      <c r="I25" s="15" t="s">
        <v>1824</v>
      </c>
      <c r="J25" s="11">
        <v>31415</v>
      </c>
      <c r="K25" s="9" t="str">
        <f t="shared" ca="1" si="0"/>
        <v>40 tahun, 6 bulan</v>
      </c>
      <c r="L25" s="12"/>
      <c r="M25" s="12"/>
      <c r="N25" s="12"/>
      <c r="O25" s="12"/>
    </row>
    <row r="26" spans="1:15" s="6" customFormat="1" ht="13.05" customHeight="1">
      <c r="A26" s="8">
        <v>21</v>
      </c>
      <c r="B26" s="30" t="s">
        <v>628</v>
      </c>
      <c r="C26" s="10" t="s">
        <v>2184</v>
      </c>
      <c r="D26" s="13" t="s">
        <v>627</v>
      </c>
      <c r="E26" s="9" t="s">
        <v>31</v>
      </c>
      <c r="F26" s="9" t="s">
        <v>29</v>
      </c>
      <c r="G26" s="9" t="s">
        <v>25</v>
      </c>
      <c r="H26" s="9" t="s">
        <v>13</v>
      </c>
      <c r="I26" s="15" t="s">
        <v>1824</v>
      </c>
      <c r="J26" s="11">
        <v>31628</v>
      </c>
      <c r="K26" s="9" t="str">
        <f t="shared" ca="1" si="0"/>
        <v>39 tahun, 11 bulan</v>
      </c>
      <c r="L26" s="12"/>
      <c r="M26" s="12"/>
      <c r="N26" s="12"/>
      <c r="O26" s="12"/>
    </row>
    <row r="27" spans="1:15" s="6" customFormat="1" ht="13.05" customHeight="1">
      <c r="A27" s="8">
        <v>22</v>
      </c>
      <c r="B27" s="30" t="s">
        <v>680</v>
      </c>
      <c r="C27" s="10" t="s">
        <v>2233</v>
      </c>
      <c r="D27" s="13" t="s">
        <v>679</v>
      </c>
      <c r="E27" s="9" t="s">
        <v>31</v>
      </c>
      <c r="F27" s="9" t="s">
        <v>2397</v>
      </c>
      <c r="G27" s="9" t="s">
        <v>25</v>
      </c>
      <c r="H27" s="9" t="s">
        <v>290</v>
      </c>
      <c r="I27" s="15" t="s">
        <v>1857</v>
      </c>
      <c r="J27" s="11">
        <v>31738</v>
      </c>
      <c r="K27" s="9" t="str">
        <f t="shared" ca="1" si="0"/>
        <v>39 tahun, 8 bulan</v>
      </c>
      <c r="L27" s="12"/>
      <c r="M27" s="12"/>
      <c r="N27" s="12"/>
      <c r="O27" s="12"/>
    </row>
    <row r="28" spans="1:15" s="6" customFormat="1" ht="13.05" customHeight="1">
      <c r="A28" s="8">
        <v>23</v>
      </c>
      <c r="B28" s="30" t="s">
        <v>77</v>
      </c>
      <c r="C28" s="10" t="s">
        <v>2342</v>
      </c>
      <c r="D28" s="13" t="s">
        <v>76</v>
      </c>
      <c r="E28" s="9" t="s">
        <v>53</v>
      </c>
      <c r="F28" s="9" t="s">
        <v>29</v>
      </c>
      <c r="G28" s="9" t="s">
        <v>25</v>
      </c>
      <c r="H28" s="9" t="s">
        <v>15</v>
      </c>
      <c r="I28" s="15" t="s">
        <v>1824</v>
      </c>
      <c r="J28" s="11">
        <v>22734</v>
      </c>
      <c r="K28" s="9" t="str">
        <f t="shared" ca="1" si="0"/>
        <v>64 tahun, 4 bulan</v>
      </c>
      <c r="L28" s="12" t="s">
        <v>1438</v>
      </c>
      <c r="M28" s="12" t="s">
        <v>1439</v>
      </c>
      <c r="N28" s="12"/>
      <c r="O28" s="12" t="s">
        <v>1440</v>
      </c>
    </row>
    <row r="29" spans="1:15" s="6" customFormat="1" ht="13.05" customHeight="1">
      <c r="A29" s="8">
        <v>24</v>
      </c>
      <c r="B29" s="30" t="s">
        <v>107</v>
      </c>
      <c r="C29" s="10" t="s">
        <v>2238</v>
      </c>
      <c r="D29" s="13" t="s">
        <v>2041</v>
      </c>
      <c r="E29" s="9" t="s">
        <v>53</v>
      </c>
      <c r="F29" s="9" t="s">
        <v>2397</v>
      </c>
      <c r="G29" s="9" t="s">
        <v>25</v>
      </c>
      <c r="H29" s="9" t="s">
        <v>15</v>
      </c>
      <c r="I29" s="15" t="s">
        <v>1825</v>
      </c>
      <c r="J29" s="11">
        <v>23153</v>
      </c>
      <c r="K29" s="9" t="str">
        <f t="shared" ca="1" si="0"/>
        <v>63 tahun, 2 bulan</v>
      </c>
      <c r="L29" s="12" t="s">
        <v>790</v>
      </c>
      <c r="M29" s="12" t="s">
        <v>791</v>
      </c>
      <c r="N29" s="12" t="s">
        <v>792</v>
      </c>
      <c r="O29" s="12" t="s">
        <v>793</v>
      </c>
    </row>
    <row r="30" spans="1:15" s="6" customFormat="1" ht="13.05" customHeight="1">
      <c r="A30" s="8">
        <v>25</v>
      </c>
      <c r="B30" s="30" t="s">
        <v>125</v>
      </c>
      <c r="C30" s="10" t="s">
        <v>2346</v>
      </c>
      <c r="D30" s="13" t="s">
        <v>124</v>
      </c>
      <c r="E30" s="9" t="s">
        <v>53</v>
      </c>
      <c r="F30" s="9" t="s">
        <v>29</v>
      </c>
      <c r="G30" s="9" t="s">
        <v>25</v>
      </c>
      <c r="H30" s="9" t="s">
        <v>15</v>
      </c>
      <c r="I30" s="15" t="s">
        <v>1825</v>
      </c>
      <c r="J30" s="11">
        <v>23578</v>
      </c>
      <c r="K30" s="9" t="str">
        <f t="shared" ca="1" si="0"/>
        <v>62 tahun, 0 bulan</v>
      </c>
      <c r="L30" s="12" t="s">
        <v>1731</v>
      </c>
      <c r="M30" s="12" t="s">
        <v>1732</v>
      </c>
      <c r="N30" s="12"/>
      <c r="O30" s="12" t="s">
        <v>1733</v>
      </c>
    </row>
    <row r="31" spans="1:15" s="6" customFormat="1" ht="13.05" customHeight="1">
      <c r="A31" s="8">
        <v>26</v>
      </c>
      <c r="B31" s="30" t="s">
        <v>127</v>
      </c>
      <c r="C31" s="10" t="s">
        <v>2337</v>
      </c>
      <c r="D31" s="13" t="s">
        <v>126</v>
      </c>
      <c r="E31" s="9" t="s">
        <v>53</v>
      </c>
      <c r="F31" s="9" t="s">
        <v>29</v>
      </c>
      <c r="G31" s="9" t="s">
        <v>25</v>
      </c>
      <c r="H31" s="9" t="s">
        <v>15</v>
      </c>
      <c r="I31" s="15" t="s">
        <v>1825</v>
      </c>
      <c r="J31" s="11">
        <v>23697</v>
      </c>
      <c r="K31" s="9" t="str">
        <f t="shared" ca="1" si="0"/>
        <v>61 tahun, 8 bulan</v>
      </c>
      <c r="L31" s="12" t="s">
        <v>1478</v>
      </c>
      <c r="M31" s="12" t="s">
        <v>1479</v>
      </c>
      <c r="N31" s="12" t="s">
        <v>1480</v>
      </c>
      <c r="O31" s="12" t="s">
        <v>1481</v>
      </c>
    </row>
    <row r="32" spans="1:15" s="6" customFormat="1" ht="13.05" customHeight="1">
      <c r="A32" s="8">
        <v>27</v>
      </c>
      <c r="B32" s="30" t="s">
        <v>135</v>
      </c>
      <c r="C32" s="10" t="s">
        <v>2393</v>
      </c>
      <c r="D32" s="13" t="s">
        <v>2045</v>
      </c>
      <c r="E32" s="9" t="s">
        <v>53</v>
      </c>
      <c r="F32" s="9" t="s">
        <v>2397</v>
      </c>
      <c r="G32" s="9" t="s">
        <v>25</v>
      </c>
      <c r="H32" s="9" t="s">
        <v>15</v>
      </c>
      <c r="I32" s="15" t="s">
        <v>1825</v>
      </c>
      <c r="J32" s="11">
        <v>23933</v>
      </c>
      <c r="K32" s="9" t="str">
        <f t="shared" ca="1" si="0"/>
        <v>61 tahun, 0 bulan</v>
      </c>
      <c r="L32" s="12" t="s">
        <v>794</v>
      </c>
      <c r="M32" s="12" t="s">
        <v>795</v>
      </c>
      <c r="N32" s="12" t="s">
        <v>796</v>
      </c>
      <c r="O32" s="12" t="s">
        <v>797</v>
      </c>
    </row>
    <row r="33" spans="1:15" s="6" customFormat="1" ht="13.05" customHeight="1">
      <c r="A33" s="8">
        <v>28</v>
      </c>
      <c r="B33" s="31" t="s">
        <v>156</v>
      </c>
      <c r="C33" s="10" t="s">
        <v>2404</v>
      </c>
      <c r="D33" s="13" t="s">
        <v>155</v>
      </c>
      <c r="E33" s="9" t="s">
        <v>53</v>
      </c>
      <c r="F33" s="9" t="s">
        <v>29</v>
      </c>
      <c r="G33" s="9" t="s">
        <v>25</v>
      </c>
      <c r="H33" s="9" t="s">
        <v>13</v>
      </c>
      <c r="I33" s="15" t="s">
        <v>1825</v>
      </c>
      <c r="J33" s="11">
        <v>24312</v>
      </c>
      <c r="K33" s="9" t="str">
        <f t="shared" ca="1" si="0"/>
        <v>60 tahun, 0 bulan</v>
      </c>
      <c r="L33" s="12"/>
      <c r="M33" s="12"/>
      <c r="N33" s="12"/>
      <c r="O33" s="12"/>
    </row>
    <row r="34" spans="1:15" s="6" customFormat="1" ht="13.05" customHeight="1">
      <c r="A34" s="8">
        <v>29</v>
      </c>
      <c r="B34" s="30" t="s">
        <v>163</v>
      </c>
      <c r="C34" s="41" t="s">
        <v>2597</v>
      </c>
      <c r="D34" s="13" t="s">
        <v>162</v>
      </c>
      <c r="E34" s="9" t="s">
        <v>53</v>
      </c>
      <c r="F34" s="9" t="s">
        <v>29</v>
      </c>
      <c r="G34" s="9" t="s">
        <v>25</v>
      </c>
      <c r="H34" s="9" t="s">
        <v>15</v>
      </c>
      <c r="I34" s="15" t="s">
        <v>1825</v>
      </c>
      <c r="J34" s="11">
        <v>24352</v>
      </c>
      <c r="K34" s="9" t="str">
        <f t="shared" ca="1" si="0"/>
        <v>59 tahun, 10 bulan</v>
      </c>
      <c r="L34" s="12"/>
      <c r="M34" s="12"/>
      <c r="N34" s="12"/>
      <c r="O34" s="12"/>
    </row>
    <row r="35" spans="1:15" s="6" customFormat="1" ht="13.05" customHeight="1">
      <c r="A35" s="8">
        <v>30</v>
      </c>
      <c r="B35" s="30" t="s">
        <v>177</v>
      </c>
      <c r="C35" s="10" t="s">
        <v>2371</v>
      </c>
      <c r="D35" s="13" t="s">
        <v>176</v>
      </c>
      <c r="E35" s="9" t="s">
        <v>53</v>
      </c>
      <c r="F35" s="9" t="s">
        <v>29</v>
      </c>
      <c r="G35" s="9" t="s">
        <v>25</v>
      </c>
      <c r="H35" s="9" t="s">
        <v>13</v>
      </c>
      <c r="I35" s="15" t="s">
        <v>1824</v>
      </c>
      <c r="J35" s="11">
        <v>24571</v>
      </c>
      <c r="K35" s="9" t="str">
        <f t="shared" ca="1" si="0"/>
        <v>59 tahun, 3 bulan</v>
      </c>
      <c r="L35" s="12" t="s">
        <v>1515</v>
      </c>
      <c r="M35" s="12" t="s">
        <v>1516</v>
      </c>
      <c r="N35" s="12" t="s">
        <v>1517</v>
      </c>
      <c r="O35" s="12" t="s">
        <v>1518</v>
      </c>
    </row>
    <row r="36" spans="1:15" s="6" customFormat="1" ht="13.05" customHeight="1">
      <c r="A36" s="8">
        <v>31</v>
      </c>
      <c r="B36" s="31" t="s">
        <v>237</v>
      </c>
      <c r="C36" s="41" t="s">
        <v>2598</v>
      </c>
      <c r="D36" s="13" t="s">
        <v>2579</v>
      </c>
      <c r="E36" s="9" t="s">
        <v>53</v>
      </c>
      <c r="F36" s="9" t="s">
        <v>29</v>
      </c>
      <c r="G36" s="9" t="s">
        <v>25</v>
      </c>
      <c r="H36" s="9" t="s">
        <v>15</v>
      </c>
      <c r="I36" s="15" t="s">
        <v>1825</v>
      </c>
      <c r="J36" s="11">
        <v>25629</v>
      </c>
      <c r="K36" s="9" t="str">
        <f t="shared" ca="1" si="0"/>
        <v>56 tahun, 4 bulan</v>
      </c>
      <c r="L36" s="12"/>
      <c r="M36" s="12"/>
      <c r="N36" s="12"/>
      <c r="O36" s="12"/>
    </row>
    <row r="37" spans="1:15" s="6" customFormat="1" ht="13.05" customHeight="1">
      <c r="A37" s="8">
        <v>32</v>
      </c>
      <c r="B37" s="30" t="s">
        <v>244</v>
      </c>
      <c r="C37" s="10" t="s">
        <v>2339</v>
      </c>
      <c r="D37" s="13" t="s">
        <v>243</v>
      </c>
      <c r="E37" s="9" t="s">
        <v>53</v>
      </c>
      <c r="F37" s="9" t="s">
        <v>29</v>
      </c>
      <c r="G37" s="9" t="s">
        <v>25</v>
      </c>
      <c r="H37" s="9" t="s">
        <v>15</v>
      </c>
      <c r="I37" s="15" t="s">
        <v>1900</v>
      </c>
      <c r="J37" s="11">
        <v>25771</v>
      </c>
      <c r="K37" s="9" t="str">
        <f t="shared" ca="1" si="0"/>
        <v>56 tahun, 0 bulan</v>
      </c>
      <c r="L37" s="12" t="s">
        <v>1636</v>
      </c>
      <c r="M37" s="12" t="s">
        <v>1637</v>
      </c>
      <c r="N37" s="12"/>
      <c r="O37" s="12" t="s">
        <v>1638</v>
      </c>
    </row>
    <row r="38" spans="1:15" s="6" customFormat="1" ht="13.05" customHeight="1">
      <c r="A38" s="8">
        <v>33</v>
      </c>
      <c r="B38" s="30" t="s">
        <v>261</v>
      </c>
      <c r="C38" s="10" t="s">
        <v>2340</v>
      </c>
      <c r="D38" s="13" t="s">
        <v>260</v>
      </c>
      <c r="E38" s="9" t="s">
        <v>53</v>
      </c>
      <c r="F38" s="9" t="s">
        <v>29</v>
      </c>
      <c r="G38" s="9" t="s">
        <v>25</v>
      </c>
      <c r="H38" s="9" t="s">
        <v>15</v>
      </c>
      <c r="I38" s="15" t="s">
        <v>1824</v>
      </c>
      <c r="J38" s="11">
        <v>26067</v>
      </c>
      <c r="K38" s="9" t="str">
        <f t="shared" ca="1" si="0"/>
        <v>55 tahun, 2 bulan</v>
      </c>
      <c r="L38" s="12" t="s">
        <v>1547</v>
      </c>
      <c r="M38" s="12" t="s">
        <v>1548</v>
      </c>
      <c r="N38" s="12"/>
      <c r="O38" s="12" t="s">
        <v>1549</v>
      </c>
    </row>
    <row r="39" spans="1:15" s="6" customFormat="1" ht="13.05" customHeight="1">
      <c r="A39" s="8">
        <v>34</v>
      </c>
      <c r="B39" s="30" t="s">
        <v>277</v>
      </c>
      <c r="C39" s="10" t="s">
        <v>2240</v>
      </c>
      <c r="D39" s="13" t="s">
        <v>276</v>
      </c>
      <c r="E39" s="9" t="s">
        <v>53</v>
      </c>
      <c r="F39" s="9" t="s">
        <v>29</v>
      </c>
      <c r="G39" s="9" t="s">
        <v>25</v>
      </c>
      <c r="H39" s="9" t="s">
        <v>15</v>
      </c>
      <c r="I39" s="15" t="s">
        <v>1825</v>
      </c>
      <c r="J39" s="11">
        <v>26235</v>
      </c>
      <c r="K39" s="9" t="str">
        <f t="shared" ca="1" si="0"/>
        <v>54 tahun, 9 bulan</v>
      </c>
      <c r="L39" s="12"/>
      <c r="M39" s="12"/>
      <c r="N39" s="12"/>
      <c r="O39" s="12"/>
    </row>
    <row r="40" spans="1:15" s="6" customFormat="1" ht="13.05" customHeight="1">
      <c r="A40" s="8">
        <v>35</v>
      </c>
      <c r="B40" s="30" t="s">
        <v>291</v>
      </c>
      <c r="C40" s="41" t="s">
        <v>2599</v>
      </c>
      <c r="D40" s="13" t="s">
        <v>2576</v>
      </c>
      <c r="E40" s="9" t="s">
        <v>53</v>
      </c>
      <c r="F40" s="9" t="s">
        <v>29</v>
      </c>
      <c r="G40" s="9" t="s">
        <v>25</v>
      </c>
      <c r="H40" s="9" t="s">
        <v>15</v>
      </c>
      <c r="I40" s="15" t="s">
        <v>1825</v>
      </c>
      <c r="J40" s="11">
        <v>26459</v>
      </c>
      <c r="K40" s="9" t="str">
        <f t="shared" ca="1" si="0"/>
        <v>54 tahun, 1 bulan</v>
      </c>
      <c r="L40" s="12"/>
      <c r="M40" s="12"/>
      <c r="N40" s="12"/>
      <c r="O40" s="12"/>
    </row>
    <row r="41" spans="1:15" s="6" customFormat="1" ht="13.05" customHeight="1">
      <c r="A41" s="8">
        <v>36</v>
      </c>
      <c r="B41" s="30" t="s">
        <v>294</v>
      </c>
      <c r="C41" s="10" t="s">
        <v>2262</v>
      </c>
      <c r="D41" s="13" t="s">
        <v>293</v>
      </c>
      <c r="E41" s="9" t="s">
        <v>53</v>
      </c>
      <c r="F41" s="9" t="s">
        <v>2397</v>
      </c>
      <c r="G41" s="9" t="s">
        <v>25</v>
      </c>
      <c r="H41" s="9" t="s">
        <v>15</v>
      </c>
      <c r="I41" s="15" t="s">
        <v>1825</v>
      </c>
      <c r="J41" s="11">
        <v>26541</v>
      </c>
      <c r="K41" s="9" t="str">
        <f t="shared" ca="1" si="0"/>
        <v>53 tahun, 10 bulan</v>
      </c>
      <c r="L41" s="12" t="s">
        <v>960</v>
      </c>
      <c r="M41" s="12" t="s">
        <v>961</v>
      </c>
      <c r="N41" s="12" t="s">
        <v>962</v>
      </c>
      <c r="O41" s="12" t="s">
        <v>963</v>
      </c>
    </row>
    <row r="42" spans="1:15" s="6" customFormat="1" ht="13.05" customHeight="1">
      <c r="A42" s="8">
        <v>37</v>
      </c>
      <c r="B42" s="31" t="s">
        <v>304</v>
      </c>
      <c r="C42" s="10" t="s">
        <v>2338</v>
      </c>
      <c r="D42" s="13" t="s">
        <v>303</v>
      </c>
      <c r="E42" s="9" t="s">
        <v>53</v>
      </c>
      <c r="F42" s="9" t="s">
        <v>2397</v>
      </c>
      <c r="G42" s="9" t="s">
        <v>25</v>
      </c>
      <c r="H42" s="9" t="s">
        <v>15</v>
      </c>
      <c r="I42" s="15" t="s">
        <v>1825</v>
      </c>
      <c r="J42" s="11">
        <v>26810</v>
      </c>
      <c r="K42" s="9" t="str">
        <f t="shared" ca="1" si="0"/>
        <v>53 tahun, 2 bulan</v>
      </c>
      <c r="L42" s="12" t="s">
        <v>964</v>
      </c>
      <c r="M42" s="12" t="s">
        <v>965</v>
      </c>
      <c r="N42" s="12" t="s">
        <v>966</v>
      </c>
      <c r="O42" s="12" t="s">
        <v>967</v>
      </c>
    </row>
    <row r="43" spans="1:15" s="6" customFormat="1" ht="13.05" customHeight="1">
      <c r="A43" s="8">
        <v>38</v>
      </c>
      <c r="B43" s="30" t="s">
        <v>333</v>
      </c>
      <c r="C43" s="10" t="s">
        <v>2394</v>
      </c>
      <c r="D43" s="13" t="s">
        <v>332</v>
      </c>
      <c r="E43" s="9" t="s">
        <v>53</v>
      </c>
      <c r="F43" s="9" t="s">
        <v>29</v>
      </c>
      <c r="G43" s="9" t="s">
        <v>25</v>
      </c>
      <c r="H43" s="9" t="s">
        <v>13</v>
      </c>
      <c r="I43" s="15" t="s">
        <v>1838</v>
      </c>
      <c r="J43" s="11">
        <v>27378</v>
      </c>
      <c r="K43" s="9" t="str">
        <f t="shared" ca="1" si="0"/>
        <v>51 tahun, 7 bulan</v>
      </c>
      <c r="L43" s="12"/>
      <c r="M43" s="12"/>
      <c r="N43" s="12"/>
      <c r="O43" s="12"/>
    </row>
    <row r="44" spans="1:15" s="6" customFormat="1" ht="13.05" customHeight="1">
      <c r="A44" s="8">
        <v>39</v>
      </c>
      <c r="B44" s="30" t="s">
        <v>343</v>
      </c>
      <c r="C44" s="41" t="s">
        <v>2606</v>
      </c>
      <c r="D44" s="13" t="s">
        <v>342</v>
      </c>
      <c r="E44" s="9" t="s">
        <v>53</v>
      </c>
      <c r="F44" s="9" t="s">
        <v>29</v>
      </c>
      <c r="G44" s="9" t="s">
        <v>25</v>
      </c>
      <c r="H44" s="9" t="s">
        <v>15</v>
      </c>
      <c r="I44" s="15" t="s">
        <v>1904</v>
      </c>
      <c r="J44" s="11">
        <v>27445</v>
      </c>
      <c r="K44" s="9" t="str">
        <f t="shared" ca="1" si="0"/>
        <v>51 tahun, 5 bulan</v>
      </c>
      <c r="L44" s="12" t="s">
        <v>1654</v>
      </c>
      <c r="M44" s="12" t="s">
        <v>1655</v>
      </c>
      <c r="N44" s="12"/>
      <c r="O44" s="12" t="s">
        <v>1656</v>
      </c>
    </row>
    <row r="45" spans="1:15" s="6" customFormat="1" ht="13.05" customHeight="1">
      <c r="A45" s="8">
        <v>40</v>
      </c>
      <c r="B45" s="30" t="s">
        <v>356</v>
      </c>
      <c r="C45" s="41" t="s">
        <v>2600</v>
      </c>
      <c r="D45" s="13" t="s">
        <v>355</v>
      </c>
      <c r="E45" s="9" t="s">
        <v>53</v>
      </c>
      <c r="F45" s="9" t="s">
        <v>29</v>
      </c>
      <c r="G45" s="9" t="s">
        <v>25</v>
      </c>
      <c r="H45" s="9" t="s">
        <v>15</v>
      </c>
      <c r="I45" s="15" t="s">
        <v>1849</v>
      </c>
      <c r="J45" s="11">
        <v>27573</v>
      </c>
      <c r="K45" s="9" t="str">
        <f t="shared" ca="1" si="0"/>
        <v>51 tahun, 1 bulan</v>
      </c>
      <c r="L45" s="12"/>
      <c r="M45" s="12" t="s">
        <v>1587</v>
      </c>
      <c r="N45" s="12"/>
      <c r="O45" s="12"/>
    </row>
    <row r="46" spans="1:15" s="34" customFormat="1" ht="13.05" customHeight="1">
      <c r="A46" s="8">
        <v>41</v>
      </c>
      <c r="B46" s="36" t="s">
        <v>363</v>
      </c>
      <c r="C46" s="37" t="s">
        <v>2178</v>
      </c>
      <c r="D46" s="38" t="s">
        <v>362</v>
      </c>
      <c r="E46" s="32" t="s">
        <v>53</v>
      </c>
      <c r="F46" s="32" t="s">
        <v>2397</v>
      </c>
      <c r="G46" s="32" t="s">
        <v>57</v>
      </c>
      <c r="H46" s="32" t="s">
        <v>15</v>
      </c>
      <c r="I46" s="33" t="s">
        <v>1825</v>
      </c>
      <c r="J46" s="39">
        <v>27661</v>
      </c>
      <c r="K46" s="32" t="str">
        <f t="shared" ca="1" si="0"/>
        <v>50 tahun, 10 bulan</v>
      </c>
      <c r="L46" s="40" t="s">
        <v>1200</v>
      </c>
      <c r="M46" s="40" t="s">
        <v>1201</v>
      </c>
      <c r="N46" s="40" t="s">
        <v>1202</v>
      </c>
      <c r="O46" s="40" t="s">
        <v>1203</v>
      </c>
    </row>
    <row r="47" spans="1:15" s="6" customFormat="1" ht="13.05" customHeight="1">
      <c r="A47" s="8">
        <v>42</v>
      </c>
      <c r="B47" s="30" t="s">
        <v>435</v>
      </c>
      <c r="C47" s="41" t="s">
        <v>2624</v>
      </c>
      <c r="D47" s="13" t="s">
        <v>1959</v>
      </c>
      <c r="E47" s="9" t="s">
        <v>53</v>
      </c>
      <c r="F47" s="9" t="s">
        <v>29</v>
      </c>
      <c r="G47" s="9" t="s">
        <v>25</v>
      </c>
      <c r="H47" s="9" t="s">
        <v>15</v>
      </c>
      <c r="I47" s="15" t="s">
        <v>2035</v>
      </c>
      <c r="J47" s="11">
        <v>28561</v>
      </c>
      <c r="K47" s="9" t="str">
        <f t="shared" ca="1" si="0"/>
        <v>48 tahun, 4 bulan</v>
      </c>
      <c r="L47" s="12" t="s">
        <v>1673</v>
      </c>
      <c r="M47" s="12" t="s">
        <v>1674</v>
      </c>
      <c r="N47" s="12"/>
      <c r="O47" s="12" t="s">
        <v>1675</v>
      </c>
    </row>
    <row r="48" spans="1:15" s="6" customFormat="1" ht="13.05" customHeight="1">
      <c r="A48" s="8">
        <v>43</v>
      </c>
      <c r="B48" s="30" t="s">
        <v>487</v>
      </c>
      <c r="C48" s="10" t="s">
        <v>2341</v>
      </c>
      <c r="D48" s="13" t="s">
        <v>1960</v>
      </c>
      <c r="E48" s="9" t="s">
        <v>53</v>
      </c>
      <c r="F48" s="9" t="s">
        <v>29</v>
      </c>
      <c r="G48" s="9" t="s">
        <v>25</v>
      </c>
      <c r="H48" s="9" t="s">
        <v>15</v>
      </c>
      <c r="I48" s="15" t="s">
        <v>1838</v>
      </c>
      <c r="J48" s="11">
        <v>29139</v>
      </c>
      <c r="K48" s="9" t="str">
        <f t="shared" ca="1" si="0"/>
        <v>46 tahun, 9 bulan</v>
      </c>
      <c r="L48" s="12" t="s">
        <v>1693</v>
      </c>
      <c r="M48" s="12" t="s">
        <v>1694</v>
      </c>
      <c r="N48" s="12"/>
      <c r="O48" s="12" t="s">
        <v>1695</v>
      </c>
    </row>
    <row r="49" spans="1:15" s="6" customFormat="1" ht="13.05" customHeight="1">
      <c r="A49" s="8">
        <v>44</v>
      </c>
      <c r="B49" s="31" t="s">
        <v>499</v>
      </c>
      <c r="C49" s="10" t="s">
        <v>2369</v>
      </c>
      <c r="D49" s="13" t="s">
        <v>1991</v>
      </c>
      <c r="E49" s="9" t="s">
        <v>53</v>
      </c>
      <c r="F49" s="9" t="s">
        <v>29</v>
      </c>
      <c r="G49" s="9" t="s">
        <v>25</v>
      </c>
      <c r="H49" s="9" t="s">
        <v>15</v>
      </c>
      <c r="I49" s="15" t="s">
        <v>1824</v>
      </c>
      <c r="J49" s="11">
        <v>29253</v>
      </c>
      <c r="K49" s="9" t="str">
        <f t="shared" ca="1" si="0"/>
        <v>46 tahun, 5 bulan</v>
      </c>
      <c r="L49" s="12"/>
      <c r="M49" s="12"/>
      <c r="N49" s="12"/>
      <c r="O49" s="12"/>
    </row>
    <row r="50" spans="1:15" s="6" customFormat="1" ht="13.05" customHeight="1">
      <c r="A50" s="8">
        <v>45</v>
      </c>
      <c r="B50" s="31" t="s">
        <v>517</v>
      </c>
      <c r="C50" s="10" t="s">
        <v>2119</v>
      </c>
      <c r="D50" s="13" t="s">
        <v>2447</v>
      </c>
      <c r="E50" s="9" t="s">
        <v>53</v>
      </c>
      <c r="F50" s="9" t="s">
        <v>2397</v>
      </c>
      <c r="G50" s="9" t="s">
        <v>25</v>
      </c>
      <c r="H50" s="9" t="s">
        <v>13</v>
      </c>
      <c r="I50" s="15" t="s">
        <v>1825</v>
      </c>
      <c r="J50" s="11">
        <v>29467</v>
      </c>
      <c r="K50" s="9" t="str">
        <f t="shared" ca="1" si="0"/>
        <v>45 tahun, 10 bulan</v>
      </c>
      <c r="L50" s="12" t="s">
        <v>1258</v>
      </c>
      <c r="M50" s="12" t="s">
        <v>1259</v>
      </c>
      <c r="N50" s="12"/>
      <c r="O50" s="12" t="s">
        <v>1260</v>
      </c>
    </row>
    <row r="51" spans="1:15" s="6" customFormat="1" ht="13.05" customHeight="1">
      <c r="A51" s="8">
        <v>46</v>
      </c>
      <c r="B51" s="30" t="s">
        <v>526</v>
      </c>
      <c r="C51" s="10" t="s">
        <v>2239</v>
      </c>
      <c r="D51" s="13" t="s">
        <v>2587</v>
      </c>
      <c r="E51" s="9" t="s">
        <v>53</v>
      </c>
      <c r="F51" s="9" t="s">
        <v>2397</v>
      </c>
      <c r="G51" s="9" t="s">
        <v>25</v>
      </c>
      <c r="H51" s="9" t="s">
        <v>13</v>
      </c>
      <c r="I51" s="15" t="s">
        <v>1917</v>
      </c>
      <c r="J51" s="11">
        <v>29634</v>
      </c>
      <c r="K51" s="9" t="str">
        <f t="shared" ca="1" si="0"/>
        <v>45 tahun, 5 bulan</v>
      </c>
      <c r="L51" s="12" t="s">
        <v>1261</v>
      </c>
      <c r="M51" s="12" t="s">
        <v>1262</v>
      </c>
      <c r="N51" s="12" t="s">
        <v>1263</v>
      </c>
      <c r="O51" s="12" t="s">
        <v>1264</v>
      </c>
    </row>
    <row r="52" spans="1:15" s="6" customFormat="1" ht="13.05" customHeight="1">
      <c r="A52" s="8">
        <v>47</v>
      </c>
      <c r="B52" s="31" t="s">
        <v>569</v>
      </c>
      <c r="C52" s="10" t="s">
        <v>2343</v>
      </c>
      <c r="D52" s="13" t="s">
        <v>1990</v>
      </c>
      <c r="E52" s="9" t="s">
        <v>53</v>
      </c>
      <c r="F52" s="9" t="s">
        <v>2397</v>
      </c>
      <c r="G52" s="9" t="s">
        <v>25</v>
      </c>
      <c r="H52" s="9" t="s">
        <v>290</v>
      </c>
      <c r="I52" s="15" t="s">
        <v>1824</v>
      </c>
      <c r="J52" s="11">
        <v>30586</v>
      </c>
      <c r="K52" s="9" t="str">
        <f t="shared" ca="1" si="0"/>
        <v>42 tahun, 10 bulan</v>
      </c>
      <c r="L52" s="12" t="s">
        <v>1359</v>
      </c>
      <c r="M52" s="12" t="s">
        <v>1360</v>
      </c>
      <c r="N52" s="12"/>
      <c r="O52" s="12" t="s">
        <v>1361</v>
      </c>
    </row>
    <row r="53" spans="1:15" s="6" customFormat="1" ht="13.05" customHeight="1">
      <c r="A53" s="8">
        <v>48</v>
      </c>
      <c r="B53" s="31" t="s">
        <v>578</v>
      </c>
      <c r="C53" s="10" t="s">
        <v>2370</v>
      </c>
      <c r="D53" s="13" t="s">
        <v>1989</v>
      </c>
      <c r="E53" s="9" t="s">
        <v>53</v>
      </c>
      <c r="F53" s="9" t="s">
        <v>29</v>
      </c>
      <c r="G53" s="9" t="s">
        <v>25</v>
      </c>
      <c r="H53" s="9" t="s">
        <v>13</v>
      </c>
      <c r="I53" s="15" t="s">
        <v>1847</v>
      </c>
      <c r="J53" s="11">
        <v>30747</v>
      </c>
      <c r="K53" s="9" t="str">
        <f t="shared" ca="1" si="0"/>
        <v>42 tahun, 4 bulan</v>
      </c>
      <c r="L53" s="12"/>
      <c r="M53" s="12"/>
      <c r="N53" s="12"/>
      <c r="O53" s="12"/>
    </row>
    <row r="54" spans="1:15" s="6" customFormat="1" ht="13.05" customHeight="1">
      <c r="A54" s="8">
        <v>49</v>
      </c>
      <c r="B54" s="30" t="s">
        <v>580</v>
      </c>
      <c r="C54" s="10" t="s">
        <v>2345</v>
      </c>
      <c r="D54" s="13" t="s">
        <v>2046</v>
      </c>
      <c r="E54" s="9" t="s">
        <v>53</v>
      </c>
      <c r="F54" s="9" t="s">
        <v>2397</v>
      </c>
      <c r="G54" s="9" t="s">
        <v>25</v>
      </c>
      <c r="H54" s="9" t="s">
        <v>13</v>
      </c>
      <c r="I54" s="15" t="s">
        <v>1825</v>
      </c>
      <c r="J54" s="11">
        <v>30766</v>
      </c>
      <c r="K54" s="9" t="str">
        <f t="shared" ca="1" si="0"/>
        <v>42 tahun, 4 bulan</v>
      </c>
      <c r="L54" s="12" t="s">
        <v>1281</v>
      </c>
      <c r="M54" s="12" t="s">
        <v>1282</v>
      </c>
      <c r="N54" s="12" t="s">
        <v>1283</v>
      </c>
      <c r="O54" s="12" t="s">
        <v>1284</v>
      </c>
    </row>
    <row r="55" spans="1:15" s="6" customFormat="1" ht="13.05" customHeight="1">
      <c r="A55" s="8">
        <v>50</v>
      </c>
      <c r="B55" s="30" t="s">
        <v>652</v>
      </c>
      <c r="C55" s="10" t="s">
        <v>2175</v>
      </c>
      <c r="D55" s="13" t="s">
        <v>651</v>
      </c>
      <c r="E55" s="9" t="s">
        <v>53</v>
      </c>
      <c r="F55" s="9" t="s">
        <v>29</v>
      </c>
      <c r="G55" s="9" t="s">
        <v>25</v>
      </c>
      <c r="H55" s="9" t="s">
        <v>290</v>
      </c>
      <c r="I55" s="15" t="s">
        <v>1825</v>
      </c>
      <c r="J55" s="11">
        <v>32137</v>
      </c>
      <c r="K55" s="9" t="str">
        <f t="shared" ca="1" si="0"/>
        <v>38 tahun, 7 bulan</v>
      </c>
      <c r="L55" s="12"/>
      <c r="M55" s="12"/>
      <c r="N55" s="12"/>
      <c r="O55" s="12"/>
    </row>
    <row r="56" spans="1:15" s="6" customFormat="1" ht="13.05" customHeight="1">
      <c r="A56" s="8">
        <v>51</v>
      </c>
      <c r="B56" s="30" t="s">
        <v>1861</v>
      </c>
      <c r="C56" s="10" t="s">
        <v>2368</v>
      </c>
      <c r="D56" s="13" t="s">
        <v>2040</v>
      </c>
      <c r="E56" s="9" t="s">
        <v>53</v>
      </c>
      <c r="F56" s="9" t="s">
        <v>2397</v>
      </c>
      <c r="G56" s="9" t="s">
        <v>25</v>
      </c>
      <c r="H56" s="9" t="s">
        <v>290</v>
      </c>
      <c r="I56" s="15" t="s">
        <v>1862</v>
      </c>
      <c r="J56" s="11">
        <v>32682</v>
      </c>
      <c r="K56" s="9" t="str">
        <f t="shared" ca="1" si="0"/>
        <v>37 tahun, 1 bulan</v>
      </c>
      <c r="L56" s="12"/>
      <c r="M56" s="12"/>
      <c r="N56" s="12"/>
      <c r="O56" s="12"/>
    </row>
    <row r="57" spans="1:15" s="6" customFormat="1" ht="13.05" customHeight="1">
      <c r="A57" s="8">
        <v>52</v>
      </c>
      <c r="B57" s="31" t="s">
        <v>2568</v>
      </c>
      <c r="C57" s="41" t="s">
        <v>2636</v>
      </c>
      <c r="D57" s="13" t="s">
        <v>2569</v>
      </c>
      <c r="E57" s="9" t="s">
        <v>53</v>
      </c>
      <c r="F57" s="9" t="s">
        <v>29</v>
      </c>
      <c r="G57" s="9" t="s">
        <v>25</v>
      </c>
      <c r="H57" s="9" t="s">
        <v>15</v>
      </c>
      <c r="I57" s="15" t="s">
        <v>1825</v>
      </c>
      <c r="J57" s="11">
        <v>30138</v>
      </c>
      <c r="K57" s="9" t="str">
        <f t="shared" ca="1" si="0"/>
        <v>44 tahun, 0 bulan</v>
      </c>
      <c r="L57" s="12"/>
      <c r="M57" s="12"/>
      <c r="N57" s="12"/>
      <c r="O57" s="12"/>
    </row>
    <row r="58" spans="1:15" s="6" customFormat="1" ht="13.05" customHeight="1">
      <c r="A58" s="8">
        <v>53</v>
      </c>
      <c r="B58" s="30" t="s">
        <v>684</v>
      </c>
      <c r="C58" s="10" t="s">
        <v>2247</v>
      </c>
      <c r="D58" s="13" t="s">
        <v>142</v>
      </c>
      <c r="E58" s="9" t="s">
        <v>143</v>
      </c>
      <c r="F58" s="9" t="s">
        <v>29</v>
      </c>
      <c r="G58" s="9" t="s">
        <v>25</v>
      </c>
      <c r="H58" s="9" t="s">
        <v>15</v>
      </c>
      <c r="I58" s="15" t="s">
        <v>1845</v>
      </c>
      <c r="J58" s="11">
        <v>24113</v>
      </c>
      <c r="K58" s="9" t="str">
        <f t="shared" ca="1" si="0"/>
        <v>60 tahun, 6 bulan</v>
      </c>
      <c r="L58" s="12" t="s">
        <v>1492</v>
      </c>
      <c r="M58" s="12" t="s">
        <v>1493</v>
      </c>
      <c r="N58" s="12"/>
      <c r="O58" s="12"/>
    </row>
    <row r="59" spans="1:15" s="6" customFormat="1" ht="13.05" customHeight="1">
      <c r="A59" s="8">
        <v>54</v>
      </c>
      <c r="B59" s="30" t="s">
        <v>688</v>
      </c>
      <c r="C59" s="10" t="s">
        <v>2243</v>
      </c>
      <c r="D59" s="13" t="s">
        <v>320</v>
      </c>
      <c r="E59" s="9" t="s">
        <v>143</v>
      </c>
      <c r="F59" s="9" t="s">
        <v>2397</v>
      </c>
      <c r="G59" s="9" t="s">
        <v>25</v>
      </c>
      <c r="H59" s="9" t="s">
        <v>15</v>
      </c>
      <c r="I59" s="15" t="s">
        <v>1825</v>
      </c>
      <c r="J59" s="11">
        <v>27170</v>
      </c>
      <c r="K59" s="9" t="str">
        <f t="shared" ca="1" si="0"/>
        <v>52 tahun, 2 bulan</v>
      </c>
      <c r="L59" s="12" t="s">
        <v>854</v>
      </c>
      <c r="M59" s="12" t="s">
        <v>855</v>
      </c>
      <c r="N59" s="12" t="s">
        <v>856</v>
      </c>
      <c r="O59" s="12" t="s">
        <v>857</v>
      </c>
    </row>
    <row r="60" spans="1:15" s="6" customFormat="1" ht="13.05" customHeight="1">
      <c r="A60" s="8">
        <v>55</v>
      </c>
      <c r="B60" s="30" t="s">
        <v>326</v>
      </c>
      <c r="C60" s="10" t="s">
        <v>2246</v>
      </c>
      <c r="D60" s="13" t="s">
        <v>325</v>
      </c>
      <c r="E60" s="9" t="s">
        <v>143</v>
      </c>
      <c r="F60" s="9" t="s">
        <v>29</v>
      </c>
      <c r="G60" s="9" t="s">
        <v>25</v>
      </c>
      <c r="H60" s="9" t="s">
        <v>15</v>
      </c>
      <c r="I60" s="15" t="s">
        <v>1824</v>
      </c>
      <c r="J60" s="11">
        <v>27222</v>
      </c>
      <c r="K60" s="9" t="str">
        <f t="shared" ca="1" si="0"/>
        <v>52 tahun, 0 bulan</v>
      </c>
      <c r="L60" s="12" t="s">
        <v>1576</v>
      </c>
      <c r="M60" s="12" t="s">
        <v>1577</v>
      </c>
      <c r="N60" s="12" t="s">
        <v>1578</v>
      </c>
      <c r="O60" s="12" t="s">
        <v>1579</v>
      </c>
    </row>
    <row r="61" spans="1:15" s="6" customFormat="1" ht="13.05" customHeight="1">
      <c r="A61" s="8">
        <v>56</v>
      </c>
      <c r="B61" s="30" t="s">
        <v>344</v>
      </c>
      <c r="C61" s="10" t="s">
        <v>2250</v>
      </c>
      <c r="D61" s="13" t="s">
        <v>2572</v>
      </c>
      <c r="E61" s="9" t="s">
        <v>143</v>
      </c>
      <c r="F61" s="9" t="s">
        <v>29</v>
      </c>
      <c r="G61" s="9" t="s">
        <v>25</v>
      </c>
      <c r="H61" s="9" t="s">
        <v>15</v>
      </c>
      <c r="I61" s="15" t="s">
        <v>1895</v>
      </c>
      <c r="J61" s="11">
        <v>27452</v>
      </c>
      <c r="K61" s="9" t="str">
        <f t="shared" ca="1" si="0"/>
        <v>51 tahun, 5 bulan</v>
      </c>
      <c r="L61" s="12"/>
      <c r="M61" s="12" t="s">
        <v>1657</v>
      </c>
      <c r="N61" s="12"/>
      <c r="O61" s="12"/>
    </row>
    <row r="62" spans="1:15" s="6" customFormat="1" ht="13.05" customHeight="1">
      <c r="A62" s="8">
        <v>57</v>
      </c>
      <c r="B62" s="30" t="s">
        <v>685</v>
      </c>
      <c r="C62" s="10" t="s">
        <v>2249</v>
      </c>
      <c r="D62" s="13" t="s">
        <v>2573</v>
      </c>
      <c r="E62" s="9" t="s">
        <v>143</v>
      </c>
      <c r="F62" s="9" t="s">
        <v>29</v>
      </c>
      <c r="G62" s="9" t="s">
        <v>25</v>
      </c>
      <c r="H62" s="9" t="s">
        <v>13</v>
      </c>
      <c r="I62" s="15" t="s">
        <v>1872</v>
      </c>
      <c r="J62" s="11">
        <v>27595</v>
      </c>
      <c r="K62" s="9" t="str">
        <f t="shared" ca="1" si="0"/>
        <v>51 tahun, 0 bulan</v>
      </c>
      <c r="L62" s="12" t="s">
        <v>1660</v>
      </c>
      <c r="M62" s="12" t="s">
        <v>1661</v>
      </c>
      <c r="N62" s="12"/>
      <c r="O62" s="12"/>
    </row>
    <row r="63" spans="1:15" s="6" customFormat="1" ht="13.05" customHeight="1">
      <c r="A63" s="8">
        <v>58</v>
      </c>
      <c r="B63" s="30" t="s">
        <v>369</v>
      </c>
      <c r="C63" s="10" t="s">
        <v>2242</v>
      </c>
      <c r="D63" s="13" t="s">
        <v>368</v>
      </c>
      <c r="E63" s="9" t="s">
        <v>143</v>
      </c>
      <c r="F63" s="9" t="s">
        <v>2397</v>
      </c>
      <c r="G63" s="9" t="s">
        <v>25</v>
      </c>
      <c r="H63" s="9" t="s">
        <v>15</v>
      </c>
      <c r="I63" s="15" t="s">
        <v>1824</v>
      </c>
      <c r="J63" s="11">
        <v>27718</v>
      </c>
      <c r="K63" s="9" t="str">
        <f t="shared" ca="1" si="0"/>
        <v>50 tahun, 8 bulan</v>
      </c>
      <c r="L63" s="12" t="s">
        <v>776</v>
      </c>
      <c r="M63" s="12" t="s">
        <v>777</v>
      </c>
      <c r="N63" s="12"/>
      <c r="O63" s="12" t="s">
        <v>778</v>
      </c>
    </row>
    <row r="64" spans="1:15" s="6" customFormat="1" ht="13.05" customHeight="1">
      <c r="A64" s="8">
        <v>59</v>
      </c>
      <c r="B64" s="30" t="s">
        <v>392</v>
      </c>
      <c r="C64" s="10" t="s">
        <v>2245</v>
      </c>
      <c r="D64" s="13" t="s">
        <v>1046</v>
      </c>
      <c r="E64" s="9" t="s">
        <v>143</v>
      </c>
      <c r="F64" s="9" t="s">
        <v>2397</v>
      </c>
      <c r="G64" s="9" t="s">
        <v>25</v>
      </c>
      <c r="H64" s="9" t="s">
        <v>15</v>
      </c>
      <c r="I64" s="15" t="s">
        <v>1824</v>
      </c>
      <c r="J64" s="11">
        <v>27955</v>
      </c>
      <c r="K64" s="9" t="str">
        <f t="shared" ca="1" si="0"/>
        <v>50 tahun, 0 bulan</v>
      </c>
      <c r="L64" s="12" t="s">
        <v>1047</v>
      </c>
      <c r="M64" s="12" t="s">
        <v>1048</v>
      </c>
      <c r="N64" s="12"/>
      <c r="O64" s="12" t="s">
        <v>1049</v>
      </c>
    </row>
    <row r="65" spans="1:15" s="6" customFormat="1" ht="13.05" customHeight="1">
      <c r="A65" s="8">
        <v>60</v>
      </c>
      <c r="B65" s="30" t="s">
        <v>403</v>
      </c>
      <c r="C65" s="10" t="s">
        <v>2241</v>
      </c>
      <c r="D65" s="13" t="s">
        <v>1329</v>
      </c>
      <c r="E65" s="9" t="s">
        <v>143</v>
      </c>
      <c r="F65" s="9" t="s">
        <v>2397</v>
      </c>
      <c r="G65" s="9" t="s">
        <v>25</v>
      </c>
      <c r="H65" s="9" t="s">
        <v>290</v>
      </c>
      <c r="I65" s="15" t="s">
        <v>1871</v>
      </c>
      <c r="J65" s="11">
        <v>28180</v>
      </c>
      <c r="K65" s="9" t="str">
        <f t="shared" ca="1" si="0"/>
        <v>49 tahun, 5 bulan</v>
      </c>
      <c r="L65" s="12" t="s">
        <v>1330</v>
      </c>
      <c r="M65" s="12" t="s">
        <v>1331</v>
      </c>
      <c r="N65" s="12"/>
      <c r="O65" s="12" t="s">
        <v>1332</v>
      </c>
    </row>
    <row r="66" spans="1:15" s="6" customFormat="1" ht="13.05" customHeight="1">
      <c r="A66" s="8">
        <v>61</v>
      </c>
      <c r="B66" s="30" t="s">
        <v>438</v>
      </c>
      <c r="C66" s="10" t="s">
        <v>2248</v>
      </c>
      <c r="D66" s="13" t="s">
        <v>437</v>
      </c>
      <c r="E66" s="9" t="s">
        <v>143</v>
      </c>
      <c r="F66" s="9" t="s">
        <v>29</v>
      </c>
      <c r="G66" s="9" t="s">
        <v>25</v>
      </c>
      <c r="H66" s="9" t="s">
        <v>15</v>
      </c>
      <c r="I66" s="15" t="s">
        <v>1824</v>
      </c>
      <c r="J66" s="11">
        <v>28633</v>
      </c>
      <c r="K66" s="9" t="str">
        <f t="shared" ca="1" si="0"/>
        <v>48 tahun, 2 bulan</v>
      </c>
      <c r="L66" s="12" t="s">
        <v>1799</v>
      </c>
      <c r="M66" s="12" t="s">
        <v>1800</v>
      </c>
      <c r="N66" s="12"/>
      <c r="O66" s="12"/>
    </row>
    <row r="67" spans="1:15" s="6" customFormat="1" ht="13.05" customHeight="1">
      <c r="A67" s="8">
        <v>62</v>
      </c>
      <c r="B67" s="30" t="s">
        <v>450</v>
      </c>
      <c r="C67" s="10" t="s">
        <v>2244</v>
      </c>
      <c r="D67" s="13" t="s">
        <v>449</v>
      </c>
      <c r="E67" s="9" t="s">
        <v>143</v>
      </c>
      <c r="F67" s="9" t="s">
        <v>2397</v>
      </c>
      <c r="G67" s="9" t="s">
        <v>25</v>
      </c>
      <c r="H67" s="9" t="s">
        <v>290</v>
      </c>
      <c r="I67" s="15" t="s">
        <v>1824</v>
      </c>
      <c r="J67" s="11">
        <v>28767</v>
      </c>
      <c r="K67" s="9" t="str">
        <f t="shared" ca="1" si="0"/>
        <v>47 tahun, 9 bulan</v>
      </c>
      <c r="L67" s="12" t="s">
        <v>1087</v>
      </c>
      <c r="M67" s="12" t="s">
        <v>1088</v>
      </c>
      <c r="N67" s="12" t="s">
        <v>1089</v>
      </c>
      <c r="O67" s="12" t="s">
        <v>1090</v>
      </c>
    </row>
    <row r="68" spans="1:15" s="6" customFormat="1" ht="13.05" customHeight="1">
      <c r="A68" s="8">
        <v>63</v>
      </c>
      <c r="B68" s="30" t="s">
        <v>2405</v>
      </c>
      <c r="C68" s="41" t="s">
        <v>2601</v>
      </c>
      <c r="D68" s="13" t="s">
        <v>2406</v>
      </c>
      <c r="E68" s="9" t="s">
        <v>143</v>
      </c>
      <c r="F68" s="9" t="s">
        <v>2397</v>
      </c>
      <c r="G68" s="9" t="s">
        <v>25</v>
      </c>
      <c r="H68" s="9" t="s">
        <v>15</v>
      </c>
      <c r="I68" s="15" t="s">
        <v>1857</v>
      </c>
      <c r="J68" s="11">
        <v>30940</v>
      </c>
      <c r="K68" s="9" t="str">
        <f t="shared" ca="1" si="0"/>
        <v>41 tahun, 10 bulan</v>
      </c>
      <c r="L68" s="12"/>
      <c r="M68" s="12"/>
      <c r="N68" s="12"/>
      <c r="O68" s="12"/>
    </row>
    <row r="69" spans="1:15" s="6" customFormat="1" ht="13.05" customHeight="1">
      <c r="A69" s="8">
        <v>64</v>
      </c>
      <c r="B69" s="30" t="s">
        <v>60</v>
      </c>
      <c r="C69" s="10" t="s">
        <v>2076</v>
      </c>
      <c r="D69" s="13" t="s">
        <v>59</v>
      </c>
      <c r="E69" s="9" t="s">
        <v>16</v>
      </c>
      <c r="F69" s="9" t="s">
        <v>2397</v>
      </c>
      <c r="G69" s="9" t="s">
        <v>25</v>
      </c>
      <c r="H69" s="9" t="s">
        <v>13</v>
      </c>
      <c r="I69" s="15" t="s">
        <v>1909</v>
      </c>
      <c r="J69" s="11">
        <v>21806</v>
      </c>
      <c r="K69" s="9" t="str">
        <f t="shared" ref="K69:K131" ca="1" si="1">DATEDIF(J69,$B$3,"Y")&amp;" tahun, "&amp;DATEDIF(J69,$B$3,"Ym")&amp;" bulan"</f>
        <v>66 tahun, 10 bulan</v>
      </c>
      <c r="L69" s="12" t="s">
        <v>742</v>
      </c>
      <c r="M69" s="12" t="s">
        <v>743</v>
      </c>
      <c r="N69" s="12"/>
      <c r="O69" s="12" t="s">
        <v>744</v>
      </c>
    </row>
    <row r="70" spans="1:15" s="6" customFormat="1" ht="13.05" customHeight="1">
      <c r="A70" s="8">
        <v>65</v>
      </c>
      <c r="B70" s="30" t="s">
        <v>86</v>
      </c>
      <c r="C70" s="10" t="s">
        <v>2060</v>
      </c>
      <c r="D70" s="13" t="s">
        <v>85</v>
      </c>
      <c r="E70" s="9" t="s">
        <v>16</v>
      </c>
      <c r="F70" s="9" t="s">
        <v>2397</v>
      </c>
      <c r="G70" s="9" t="s">
        <v>25</v>
      </c>
      <c r="H70" s="9" t="s">
        <v>15</v>
      </c>
      <c r="I70" s="15" t="s">
        <v>1825</v>
      </c>
      <c r="J70" s="11">
        <v>22911</v>
      </c>
      <c r="K70" s="9" t="str">
        <f t="shared" ca="1" si="1"/>
        <v>63 tahun, 10 bulan</v>
      </c>
      <c r="L70" s="12" t="s">
        <v>748</v>
      </c>
      <c r="M70" s="12" t="s">
        <v>749</v>
      </c>
      <c r="N70" s="12" t="s">
        <v>750</v>
      </c>
      <c r="O70" s="12" t="s">
        <v>751</v>
      </c>
    </row>
    <row r="71" spans="1:15" s="6" customFormat="1" ht="13.05" customHeight="1">
      <c r="A71" s="8">
        <v>66</v>
      </c>
      <c r="B71" s="30" t="s">
        <v>146</v>
      </c>
      <c r="C71" s="10" t="s">
        <v>2057</v>
      </c>
      <c r="D71" s="13" t="s">
        <v>2396</v>
      </c>
      <c r="E71" s="9" t="s">
        <v>16</v>
      </c>
      <c r="F71" s="9" t="s">
        <v>2397</v>
      </c>
      <c r="G71" s="9" t="s">
        <v>25</v>
      </c>
      <c r="H71" s="9" t="s">
        <v>13</v>
      </c>
      <c r="I71" s="15" t="s">
        <v>1824</v>
      </c>
      <c r="J71" s="11">
        <v>24238</v>
      </c>
      <c r="K71" s="9" t="str">
        <f t="shared" ca="1" si="1"/>
        <v>60 tahun, 2 bulan</v>
      </c>
      <c r="L71" s="12" t="s">
        <v>798</v>
      </c>
      <c r="M71" s="12" t="s">
        <v>799</v>
      </c>
      <c r="N71" s="12" t="s">
        <v>800</v>
      </c>
      <c r="O71" s="12" t="s">
        <v>801</v>
      </c>
    </row>
    <row r="72" spans="1:15" s="6" customFormat="1" ht="13.05" customHeight="1">
      <c r="A72" s="8">
        <v>67</v>
      </c>
      <c r="B72" s="30" t="s">
        <v>165</v>
      </c>
      <c r="C72" s="10" t="s">
        <v>2059</v>
      </c>
      <c r="D72" s="13" t="s">
        <v>164</v>
      </c>
      <c r="E72" s="9" t="s">
        <v>16</v>
      </c>
      <c r="F72" s="9" t="s">
        <v>2397</v>
      </c>
      <c r="G72" s="9" t="s">
        <v>25</v>
      </c>
      <c r="H72" s="9" t="s">
        <v>13</v>
      </c>
      <c r="I72" s="15" t="s">
        <v>1895</v>
      </c>
      <c r="J72" s="11">
        <v>24386</v>
      </c>
      <c r="K72" s="9" t="str">
        <f t="shared" ca="1" si="1"/>
        <v>59 tahun, 9 bulan</v>
      </c>
      <c r="L72" s="12" t="s">
        <v>769</v>
      </c>
      <c r="M72" s="12" t="s">
        <v>770</v>
      </c>
      <c r="N72" s="12"/>
      <c r="O72" s="12" t="s">
        <v>771</v>
      </c>
    </row>
    <row r="73" spans="1:15" s="6" customFormat="1" ht="13.05" customHeight="1">
      <c r="A73" s="8">
        <v>68</v>
      </c>
      <c r="B73" s="30" t="s">
        <v>223</v>
      </c>
      <c r="C73" s="10" t="s">
        <v>2064</v>
      </c>
      <c r="D73" s="13" t="s">
        <v>222</v>
      </c>
      <c r="E73" s="9" t="s">
        <v>16</v>
      </c>
      <c r="F73" s="9" t="s">
        <v>2397</v>
      </c>
      <c r="G73" s="9" t="s">
        <v>25</v>
      </c>
      <c r="H73" s="9" t="s">
        <v>15</v>
      </c>
      <c r="I73" s="15" t="s">
        <v>1825</v>
      </c>
      <c r="J73" s="11">
        <v>25341</v>
      </c>
      <c r="K73" s="9" t="str">
        <f t="shared" ca="1" si="1"/>
        <v>57 tahun, 2 bulan</v>
      </c>
      <c r="L73" s="12" t="s">
        <v>930</v>
      </c>
      <c r="M73" s="12" t="s">
        <v>931</v>
      </c>
      <c r="N73" s="12"/>
      <c r="O73" s="12" t="s">
        <v>932</v>
      </c>
    </row>
    <row r="74" spans="1:15" s="6" customFormat="1" ht="13.05" customHeight="1">
      <c r="A74" s="8">
        <v>69</v>
      </c>
      <c r="B74" s="30" t="s">
        <v>257</v>
      </c>
      <c r="C74" s="41" t="s">
        <v>2656</v>
      </c>
      <c r="D74" s="13" t="s">
        <v>1970</v>
      </c>
      <c r="E74" s="9" t="s">
        <v>16</v>
      </c>
      <c r="F74" s="9" t="s">
        <v>2397</v>
      </c>
      <c r="G74" s="9" t="s">
        <v>25</v>
      </c>
      <c r="H74" s="9" t="s">
        <v>15</v>
      </c>
      <c r="I74" s="15" t="s">
        <v>1825</v>
      </c>
      <c r="J74" s="11">
        <v>25958</v>
      </c>
      <c r="K74" s="9" t="str">
        <f t="shared" ca="1" si="1"/>
        <v>55 tahun, 6 bulan</v>
      </c>
      <c r="L74" s="12" t="s">
        <v>822</v>
      </c>
      <c r="M74" s="12" t="s">
        <v>823</v>
      </c>
      <c r="N74" s="12" t="s">
        <v>824</v>
      </c>
      <c r="O74" s="12" t="s">
        <v>825</v>
      </c>
    </row>
    <row r="75" spans="1:15" s="6" customFormat="1" ht="13.05" customHeight="1">
      <c r="A75" s="8">
        <v>70</v>
      </c>
      <c r="B75" s="30" t="s">
        <v>273</v>
      </c>
      <c r="C75" s="10" t="s">
        <v>2131</v>
      </c>
      <c r="D75" s="13" t="s">
        <v>2407</v>
      </c>
      <c r="E75" s="9" t="s">
        <v>16</v>
      </c>
      <c r="F75" s="9" t="s">
        <v>2397</v>
      </c>
      <c r="G75" s="9" t="s">
        <v>25</v>
      </c>
      <c r="H75" s="9" t="s">
        <v>13</v>
      </c>
      <c r="I75" s="15" t="s">
        <v>1825</v>
      </c>
      <c r="J75" s="11">
        <v>26215</v>
      </c>
      <c r="K75" s="9" t="str">
        <f t="shared" ca="1" si="1"/>
        <v>54 tahun, 9 bulan</v>
      </c>
      <c r="L75" s="12" t="s">
        <v>948</v>
      </c>
      <c r="M75" s="12" t="s">
        <v>949</v>
      </c>
      <c r="N75" s="12" t="s">
        <v>950</v>
      </c>
      <c r="O75" s="12" t="s">
        <v>951</v>
      </c>
    </row>
    <row r="76" spans="1:15" s="6" customFormat="1" ht="13.05" customHeight="1">
      <c r="A76" s="8">
        <v>71</v>
      </c>
      <c r="B76" s="30" t="s">
        <v>302</v>
      </c>
      <c r="C76" s="10" t="s">
        <v>2134</v>
      </c>
      <c r="D76" s="13" t="s">
        <v>301</v>
      </c>
      <c r="E76" s="9" t="s">
        <v>16</v>
      </c>
      <c r="F76" s="9" t="s">
        <v>2397</v>
      </c>
      <c r="G76" s="9" t="s">
        <v>25</v>
      </c>
      <c r="H76" s="9" t="s">
        <v>13</v>
      </c>
      <c r="I76" s="15" t="s">
        <v>1825</v>
      </c>
      <c r="J76" s="11">
        <v>26758</v>
      </c>
      <c r="K76" s="9" t="str">
        <f t="shared" ca="1" si="1"/>
        <v>53 tahun, 3 bulan</v>
      </c>
      <c r="L76" s="12" t="s">
        <v>840</v>
      </c>
      <c r="M76" s="12" t="s">
        <v>841</v>
      </c>
      <c r="N76" s="12" t="s">
        <v>842</v>
      </c>
      <c r="O76" s="12" t="s">
        <v>843</v>
      </c>
    </row>
    <row r="77" spans="1:15" s="6" customFormat="1" ht="13.05" customHeight="1">
      <c r="A77" s="8">
        <v>72</v>
      </c>
      <c r="B77" s="30" t="s">
        <v>310</v>
      </c>
      <c r="C77" s="10" t="s">
        <v>2136</v>
      </c>
      <c r="D77" s="13" t="s">
        <v>1997</v>
      </c>
      <c r="E77" s="9" t="s">
        <v>16</v>
      </c>
      <c r="F77" s="9" t="s">
        <v>2397</v>
      </c>
      <c r="G77" s="9" t="s">
        <v>57</v>
      </c>
      <c r="H77" s="9" t="s">
        <v>13</v>
      </c>
      <c r="I77" s="15" t="s">
        <v>1824</v>
      </c>
      <c r="J77" s="11">
        <v>26964</v>
      </c>
      <c r="K77" s="9" t="str">
        <f t="shared" ca="1" si="1"/>
        <v>52 tahun, 9 bulan</v>
      </c>
      <c r="L77" s="12" t="s">
        <v>1196</v>
      </c>
      <c r="M77" s="12" t="s">
        <v>1197</v>
      </c>
      <c r="N77" s="12" t="s">
        <v>1198</v>
      </c>
      <c r="O77" s="12" t="s">
        <v>1199</v>
      </c>
    </row>
    <row r="78" spans="1:15" s="6" customFormat="1" ht="13.05" customHeight="1">
      <c r="A78" s="8">
        <v>73</v>
      </c>
      <c r="B78" s="30" t="s">
        <v>316</v>
      </c>
      <c r="C78" s="10" t="s">
        <v>2408</v>
      </c>
      <c r="D78" s="13" t="s">
        <v>315</v>
      </c>
      <c r="E78" s="9" t="s">
        <v>16</v>
      </c>
      <c r="F78" s="9" t="s">
        <v>2397</v>
      </c>
      <c r="G78" s="9" t="s">
        <v>25</v>
      </c>
      <c r="H78" s="9" t="s">
        <v>15</v>
      </c>
      <c r="I78" s="15" t="s">
        <v>1825</v>
      </c>
      <c r="J78" s="11">
        <v>27093</v>
      </c>
      <c r="K78" s="9" t="str">
        <f t="shared" ca="1" si="1"/>
        <v>52 tahun, 4 bulan</v>
      </c>
      <c r="L78" s="12" t="s">
        <v>848</v>
      </c>
      <c r="M78" s="12" t="s">
        <v>849</v>
      </c>
      <c r="N78" s="12" t="s">
        <v>850</v>
      </c>
      <c r="O78" s="12" t="s">
        <v>851</v>
      </c>
    </row>
    <row r="79" spans="1:15" s="6" customFormat="1" ht="13.05" customHeight="1">
      <c r="A79" s="8">
        <v>74</v>
      </c>
      <c r="B79" s="30" t="s">
        <v>321</v>
      </c>
      <c r="C79" s="41" t="s">
        <v>2652</v>
      </c>
      <c r="D79" s="13" t="s">
        <v>2039</v>
      </c>
      <c r="E79" s="9" t="s">
        <v>16</v>
      </c>
      <c r="F79" s="9" t="s">
        <v>2397</v>
      </c>
      <c r="G79" s="9" t="s">
        <v>25</v>
      </c>
      <c r="H79" s="9" t="s">
        <v>13</v>
      </c>
      <c r="I79" s="15" t="s">
        <v>1825</v>
      </c>
      <c r="J79" s="11">
        <v>27189</v>
      </c>
      <c r="K79" s="9" t="str">
        <f t="shared" ca="1" si="1"/>
        <v>52 tahun, 1 bulan</v>
      </c>
      <c r="L79" s="12" t="s">
        <v>983</v>
      </c>
      <c r="M79" s="12" t="s">
        <v>984</v>
      </c>
      <c r="N79" s="12" t="s">
        <v>985</v>
      </c>
      <c r="O79" s="12" t="s">
        <v>986</v>
      </c>
    </row>
    <row r="80" spans="1:15" s="6" customFormat="1" ht="13.05" customHeight="1">
      <c r="A80" s="8">
        <v>75</v>
      </c>
      <c r="B80" s="30" t="s">
        <v>339</v>
      </c>
      <c r="C80" s="10" t="s">
        <v>2145</v>
      </c>
      <c r="D80" s="13" t="s">
        <v>1984</v>
      </c>
      <c r="E80" s="9" t="s">
        <v>16</v>
      </c>
      <c r="F80" s="9" t="s">
        <v>2397</v>
      </c>
      <c r="G80" s="9" t="s">
        <v>25</v>
      </c>
      <c r="H80" s="9" t="s">
        <v>13</v>
      </c>
      <c r="I80" s="15" t="s">
        <v>1825</v>
      </c>
      <c r="J80" s="11">
        <v>27414</v>
      </c>
      <c r="K80" s="9" t="str">
        <f t="shared" ca="1" si="1"/>
        <v>51 tahun, 6 bulan</v>
      </c>
      <c r="L80" s="12" t="s">
        <v>1001</v>
      </c>
      <c r="M80" s="12" t="s">
        <v>1002</v>
      </c>
      <c r="N80" s="12" t="s">
        <v>1003</v>
      </c>
      <c r="O80" s="12" t="s">
        <v>1004</v>
      </c>
    </row>
    <row r="81" spans="1:15" s="6" customFormat="1" ht="13.05" customHeight="1">
      <c r="A81" s="8">
        <v>76</v>
      </c>
      <c r="B81" s="30" t="s">
        <v>354</v>
      </c>
      <c r="C81" s="10" t="s">
        <v>2169</v>
      </c>
      <c r="D81" s="13" t="s">
        <v>353</v>
      </c>
      <c r="E81" s="9" t="s">
        <v>16</v>
      </c>
      <c r="F81" s="9" t="s">
        <v>2397</v>
      </c>
      <c r="G81" s="9" t="s">
        <v>25</v>
      </c>
      <c r="H81" s="9" t="s">
        <v>13</v>
      </c>
      <c r="I81" s="15" t="s">
        <v>1825</v>
      </c>
      <c r="J81" s="11">
        <v>27554</v>
      </c>
      <c r="K81" s="9" t="str">
        <f t="shared" ca="1" si="1"/>
        <v>51 tahun, 1 bulan</v>
      </c>
      <c r="L81" s="12" t="s">
        <v>1012</v>
      </c>
      <c r="M81" s="12" t="s">
        <v>1013</v>
      </c>
      <c r="N81" s="12"/>
      <c r="O81" s="12" t="s">
        <v>1014</v>
      </c>
    </row>
    <row r="82" spans="1:15" s="6" customFormat="1" ht="13.05" customHeight="1">
      <c r="A82" s="8">
        <v>77</v>
      </c>
      <c r="B82" s="31" t="s">
        <v>367</v>
      </c>
      <c r="C82" s="10" t="s">
        <v>2141</v>
      </c>
      <c r="D82" s="13" t="s">
        <v>2583</v>
      </c>
      <c r="E82" s="9" t="s">
        <v>16</v>
      </c>
      <c r="F82" s="9" t="s">
        <v>2397</v>
      </c>
      <c r="G82" s="9" t="s">
        <v>25</v>
      </c>
      <c r="H82" s="9" t="s">
        <v>15</v>
      </c>
      <c r="I82" s="15" t="s">
        <v>1830</v>
      </c>
      <c r="J82" s="11">
        <v>27715</v>
      </c>
      <c r="K82" s="9" t="str">
        <f t="shared" ca="1" si="1"/>
        <v>50 tahun, 8 bulan</v>
      </c>
      <c r="L82" s="12" t="s">
        <v>1021</v>
      </c>
      <c r="M82" s="12" t="s">
        <v>1022</v>
      </c>
      <c r="N82" s="12" t="s">
        <v>1023</v>
      </c>
      <c r="O82" s="12" t="s">
        <v>1024</v>
      </c>
    </row>
    <row r="83" spans="1:15" s="6" customFormat="1" ht="13.05" customHeight="1">
      <c r="A83" s="8">
        <v>78</v>
      </c>
      <c r="B83" s="36" t="s">
        <v>370</v>
      </c>
      <c r="C83" s="37" t="s">
        <v>2125</v>
      </c>
      <c r="D83" s="38" t="s">
        <v>1324</v>
      </c>
      <c r="E83" s="32" t="s">
        <v>16</v>
      </c>
      <c r="F83" s="32" t="s">
        <v>2397</v>
      </c>
      <c r="G83" s="32" t="s">
        <v>25</v>
      </c>
      <c r="H83" s="32" t="s">
        <v>15</v>
      </c>
      <c r="I83" s="33" t="s">
        <v>1838</v>
      </c>
      <c r="J83" s="39">
        <v>27737</v>
      </c>
      <c r="K83" s="32" t="str">
        <f t="shared" ca="1" si="1"/>
        <v>50 tahun, 7 bulan</v>
      </c>
      <c r="L83" s="40" t="s">
        <v>1325</v>
      </c>
      <c r="M83" s="40" t="s">
        <v>1326</v>
      </c>
      <c r="N83" s="40" t="s">
        <v>1327</v>
      </c>
      <c r="O83" s="40" t="s">
        <v>1328</v>
      </c>
    </row>
    <row r="84" spans="1:15" s="6" customFormat="1" ht="13.05" customHeight="1">
      <c r="A84" s="8">
        <v>79</v>
      </c>
      <c r="B84" s="31" t="s">
        <v>412</v>
      </c>
      <c r="C84" s="10" t="s">
        <v>2061</v>
      </c>
      <c r="D84" s="13" t="s">
        <v>411</v>
      </c>
      <c r="E84" s="9" t="s">
        <v>16</v>
      </c>
      <c r="F84" s="9" t="s">
        <v>2397</v>
      </c>
      <c r="G84" s="9" t="s">
        <v>25</v>
      </c>
      <c r="H84" s="9" t="s">
        <v>13</v>
      </c>
      <c r="I84" s="15" t="s">
        <v>1825</v>
      </c>
      <c r="J84" s="11">
        <v>28304</v>
      </c>
      <c r="K84" s="9" t="str">
        <f t="shared" ca="1" si="1"/>
        <v>49 tahun, 1 bulan</v>
      </c>
      <c r="L84" s="12" t="s">
        <v>1065</v>
      </c>
      <c r="M84" s="35" t="s">
        <v>1066</v>
      </c>
      <c r="N84" s="12"/>
      <c r="O84" s="12" t="s">
        <v>1067</v>
      </c>
    </row>
    <row r="85" spans="1:15" s="6" customFormat="1" ht="13.05" customHeight="1">
      <c r="A85" s="8">
        <v>80</v>
      </c>
      <c r="B85" s="30" t="s">
        <v>426</v>
      </c>
      <c r="C85" s="10" t="s">
        <v>2147</v>
      </c>
      <c r="D85" s="13" t="s">
        <v>425</v>
      </c>
      <c r="E85" s="9" t="s">
        <v>16</v>
      </c>
      <c r="F85" s="9" t="s">
        <v>2397</v>
      </c>
      <c r="G85" s="9" t="s">
        <v>25</v>
      </c>
      <c r="H85" s="9" t="s">
        <v>15</v>
      </c>
      <c r="I85" s="15" t="s">
        <v>1824</v>
      </c>
      <c r="J85" s="11">
        <v>28459</v>
      </c>
      <c r="K85" s="9" t="str">
        <f t="shared" ca="1" si="1"/>
        <v>48 tahun, 7 bulan</v>
      </c>
      <c r="L85" s="12" t="s">
        <v>862</v>
      </c>
      <c r="M85" s="12" t="s">
        <v>863</v>
      </c>
      <c r="N85" s="12" t="s">
        <v>864</v>
      </c>
      <c r="O85" s="12" t="s">
        <v>865</v>
      </c>
    </row>
    <row r="86" spans="1:15" s="6" customFormat="1" ht="13.05" customHeight="1">
      <c r="A86" s="8">
        <v>81</v>
      </c>
      <c r="B86" s="31" t="s">
        <v>456</v>
      </c>
      <c r="C86" s="10" t="s">
        <v>2107</v>
      </c>
      <c r="D86" s="13" t="s">
        <v>455</v>
      </c>
      <c r="E86" s="9" t="s">
        <v>16</v>
      </c>
      <c r="F86" s="9" t="s">
        <v>2397</v>
      </c>
      <c r="G86" s="9" t="s">
        <v>57</v>
      </c>
      <c r="H86" s="9" t="s">
        <v>290</v>
      </c>
      <c r="I86" s="15" t="s">
        <v>1885</v>
      </c>
      <c r="J86" s="11">
        <v>28803</v>
      </c>
      <c r="K86" s="9" t="str">
        <f t="shared" ca="1" si="1"/>
        <v>47 tahun, 8 bulan</v>
      </c>
      <c r="L86" s="12" t="s">
        <v>1219</v>
      </c>
      <c r="M86" s="12" t="s">
        <v>1220</v>
      </c>
      <c r="N86" s="12"/>
      <c r="O86" s="12" t="s">
        <v>1221</v>
      </c>
    </row>
    <row r="87" spans="1:15" s="6" customFormat="1" ht="13.05" customHeight="1">
      <c r="A87" s="8">
        <v>82</v>
      </c>
      <c r="B87" s="30" t="s">
        <v>468</v>
      </c>
      <c r="C87" s="10" t="s">
        <v>2201</v>
      </c>
      <c r="D87" s="13" t="s">
        <v>467</v>
      </c>
      <c r="E87" s="9" t="s">
        <v>16</v>
      </c>
      <c r="F87" s="9" t="s">
        <v>2397</v>
      </c>
      <c r="G87" s="9" t="s">
        <v>25</v>
      </c>
      <c r="H87" s="9" t="s">
        <v>13</v>
      </c>
      <c r="I87" s="15" t="s">
        <v>1897</v>
      </c>
      <c r="J87" s="11">
        <v>28888</v>
      </c>
      <c r="K87" s="9" t="str">
        <f t="shared" ca="1" si="1"/>
        <v>47 tahun, 5 bulan</v>
      </c>
      <c r="L87" s="12" t="s">
        <v>1103</v>
      </c>
      <c r="M87" s="12" t="s">
        <v>1104</v>
      </c>
      <c r="N87" s="12"/>
      <c r="O87" s="12" t="s">
        <v>1105</v>
      </c>
    </row>
    <row r="88" spans="1:15" s="6" customFormat="1" ht="13.05" customHeight="1">
      <c r="A88" s="8">
        <v>83</v>
      </c>
      <c r="B88" s="30" t="s">
        <v>481</v>
      </c>
      <c r="C88" s="41" t="s">
        <v>2625</v>
      </c>
      <c r="D88" s="13" t="s">
        <v>480</v>
      </c>
      <c r="E88" s="9" t="s">
        <v>16</v>
      </c>
      <c r="F88" s="9" t="s">
        <v>2397</v>
      </c>
      <c r="G88" s="9" t="s">
        <v>25</v>
      </c>
      <c r="H88" s="9" t="s">
        <v>13</v>
      </c>
      <c r="I88" s="15" t="s">
        <v>1825</v>
      </c>
      <c r="J88" s="11">
        <v>29016</v>
      </c>
      <c r="K88" s="9" t="str">
        <f t="shared" ca="1" si="1"/>
        <v>47 tahun, 1 bulan</v>
      </c>
      <c r="L88" s="12" t="s">
        <v>1110</v>
      </c>
      <c r="M88" s="12" t="s">
        <v>1111</v>
      </c>
      <c r="N88" s="12" t="s">
        <v>1112</v>
      </c>
      <c r="O88" s="12" t="s">
        <v>1113</v>
      </c>
    </row>
    <row r="89" spans="1:15" s="6" customFormat="1" ht="13.05" customHeight="1">
      <c r="A89" s="8">
        <v>84</v>
      </c>
      <c r="B89" s="31" t="s">
        <v>490</v>
      </c>
      <c r="C89" s="10" t="s">
        <v>2150</v>
      </c>
      <c r="D89" s="13" t="s">
        <v>489</v>
      </c>
      <c r="E89" s="9" t="s">
        <v>16</v>
      </c>
      <c r="F89" s="9" t="s">
        <v>2397</v>
      </c>
      <c r="G89" s="9" t="s">
        <v>25</v>
      </c>
      <c r="H89" s="9" t="s">
        <v>13</v>
      </c>
      <c r="I89" s="15" t="s">
        <v>1825</v>
      </c>
      <c r="J89" s="11">
        <v>29167</v>
      </c>
      <c r="K89" s="9" t="str">
        <f t="shared" ca="1" si="1"/>
        <v>46 tahun, 8 bulan</v>
      </c>
      <c r="L89" s="12" t="s">
        <v>1114</v>
      </c>
      <c r="M89" s="12" t="s">
        <v>1115</v>
      </c>
      <c r="N89" s="12" t="s">
        <v>1116</v>
      </c>
      <c r="O89" s="12" t="s">
        <v>1117</v>
      </c>
    </row>
    <row r="90" spans="1:15" s="6" customFormat="1" ht="13.05" customHeight="1">
      <c r="A90" s="8">
        <v>85</v>
      </c>
      <c r="B90" s="30" t="s">
        <v>492</v>
      </c>
      <c r="C90" s="10" t="s">
        <v>2124</v>
      </c>
      <c r="D90" s="13" t="s">
        <v>491</v>
      </c>
      <c r="E90" s="9" t="s">
        <v>16</v>
      </c>
      <c r="F90" s="9" t="s">
        <v>2397</v>
      </c>
      <c r="G90" s="9" t="s">
        <v>25</v>
      </c>
      <c r="H90" s="9" t="s">
        <v>290</v>
      </c>
      <c r="I90" s="15" t="s">
        <v>1824</v>
      </c>
      <c r="J90" s="11">
        <v>29194</v>
      </c>
      <c r="K90" s="9" t="str">
        <f t="shared" ca="1" si="1"/>
        <v>46 tahun, 7 bulan</v>
      </c>
      <c r="L90" s="12" t="s">
        <v>1241</v>
      </c>
      <c r="M90" s="12" t="s">
        <v>1242</v>
      </c>
      <c r="N90" s="12"/>
      <c r="O90" s="12" t="s">
        <v>1243</v>
      </c>
    </row>
    <row r="91" spans="1:15" s="6" customFormat="1" ht="13.05" customHeight="1">
      <c r="A91" s="8">
        <v>86</v>
      </c>
      <c r="B91" s="30" t="s">
        <v>493</v>
      </c>
      <c r="C91" s="10" t="s">
        <v>2166</v>
      </c>
      <c r="D91" s="13" t="s">
        <v>2402</v>
      </c>
      <c r="E91" s="9" t="s">
        <v>16</v>
      </c>
      <c r="F91" s="9" t="s">
        <v>2397</v>
      </c>
      <c r="G91" s="9" t="s">
        <v>25</v>
      </c>
      <c r="H91" s="9" t="s">
        <v>13</v>
      </c>
      <c r="I91" s="15" t="s">
        <v>1825</v>
      </c>
      <c r="J91" s="11">
        <v>29213</v>
      </c>
      <c r="K91" s="9" t="str">
        <f t="shared" ca="1" si="1"/>
        <v>46 tahun, 7 bulan</v>
      </c>
      <c r="L91" s="12" t="s">
        <v>1244</v>
      </c>
      <c r="M91" s="12" t="s">
        <v>1245</v>
      </c>
      <c r="N91" s="12"/>
      <c r="O91" s="12" t="s">
        <v>1246</v>
      </c>
    </row>
    <row r="92" spans="1:15" s="6" customFormat="1" ht="13.05" customHeight="1">
      <c r="A92" s="8">
        <v>87</v>
      </c>
      <c r="B92" s="30" t="s">
        <v>498</v>
      </c>
      <c r="C92" s="10" t="s">
        <v>2139</v>
      </c>
      <c r="D92" s="13" t="s">
        <v>2409</v>
      </c>
      <c r="E92" s="9" t="s">
        <v>16</v>
      </c>
      <c r="F92" s="9" t="s">
        <v>2397</v>
      </c>
      <c r="G92" s="9" t="s">
        <v>25</v>
      </c>
      <c r="H92" s="9" t="s">
        <v>13</v>
      </c>
      <c r="I92" s="15" t="s">
        <v>1825</v>
      </c>
      <c r="J92" s="11">
        <v>29243</v>
      </c>
      <c r="K92" s="9" t="str">
        <f t="shared" ca="1" si="1"/>
        <v>46 tahun, 6 bulan</v>
      </c>
      <c r="L92" s="12" t="s">
        <v>1118</v>
      </c>
      <c r="M92" s="12" t="s">
        <v>1119</v>
      </c>
      <c r="N92" s="12"/>
      <c r="O92" s="12" t="s">
        <v>1120</v>
      </c>
    </row>
    <row r="93" spans="1:15" s="6" customFormat="1" ht="13.05" customHeight="1">
      <c r="A93" s="8">
        <v>88</v>
      </c>
      <c r="B93" s="30" t="s">
        <v>505</v>
      </c>
      <c r="C93" s="10" t="s">
        <v>2154</v>
      </c>
      <c r="D93" s="13" t="s">
        <v>504</v>
      </c>
      <c r="E93" s="9" t="s">
        <v>16</v>
      </c>
      <c r="F93" s="9" t="s">
        <v>2397</v>
      </c>
      <c r="G93" s="9" t="s">
        <v>25</v>
      </c>
      <c r="H93" s="9" t="s">
        <v>13</v>
      </c>
      <c r="I93" s="15" t="s">
        <v>1825</v>
      </c>
      <c r="J93" s="11">
        <v>29363</v>
      </c>
      <c r="K93" s="9" t="str">
        <f t="shared" ca="1" si="1"/>
        <v>46 tahun, 2 bulan</v>
      </c>
      <c r="L93" s="12" t="s">
        <v>1251</v>
      </c>
      <c r="M93" s="12" t="s">
        <v>1252</v>
      </c>
      <c r="N93" s="12"/>
      <c r="O93" s="12" t="s">
        <v>1253</v>
      </c>
    </row>
    <row r="94" spans="1:15" s="6" customFormat="1" ht="13.05" customHeight="1">
      <c r="A94" s="8">
        <v>89</v>
      </c>
      <c r="B94" s="30" t="s">
        <v>508</v>
      </c>
      <c r="C94" s="10" t="s">
        <v>2168</v>
      </c>
      <c r="D94" s="13" t="s">
        <v>507</v>
      </c>
      <c r="E94" s="9" t="s">
        <v>16</v>
      </c>
      <c r="F94" s="9" t="s">
        <v>2397</v>
      </c>
      <c r="G94" s="9" t="s">
        <v>25</v>
      </c>
      <c r="H94" s="9" t="s">
        <v>13</v>
      </c>
      <c r="I94" s="15" t="s">
        <v>1825</v>
      </c>
      <c r="J94" s="11">
        <v>29389</v>
      </c>
      <c r="K94" s="9" t="str">
        <f t="shared" ca="1" si="1"/>
        <v>46 tahun, 1 bulan</v>
      </c>
      <c r="L94" s="12" t="s">
        <v>1121</v>
      </c>
      <c r="M94" s="12" t="s">
        <v>1122</v>
      </c>
      <c r="N94" s="12" t="s">
        <v>1123</v>
      </c>
      <c r="O94" s="12" t="s">
        <v>1124</v>
      </c>
    </row>
    <row r="95" spans="1:15" s="6" customFormat="1" ht="13.05" customHeight="1">
      <c r="A95" s="8">
        <v>90</v>
      </c>
      <c r="B95" s="30" t="s">
        <v>513</v>
      </c>
      <c r="C95" s="10" t="s">
        <v>2144</v>
      </c>
      <c r="D95" s="13" t="s">
        <v>2044</v>
      </c>
      <c r="E95" s="9" t="s">
        <v>16</v>
      </c>
      <c r="F95" s="9" t="s">
        <v>2397</v>
      </c>
      <c r="G95" s="9" t="s">
        <v>25</v>
      </c>
      <c r="H95" s="9" t="s">
        <v>15</v>
      </c>
      <c r="I95" s="15" t="s">
        <v>1906</v>
      </c>
      <c r="J95" s="11">
        <v>29428</v>
      </c>
      <c r="K95" s="9" t="str">
        <f t="shared" ca="1" si="1"/>
        <v>46 tahun, 0 bulan</v>
      </c>
      <c r="L95" s="12" t="s">
        <v>873</v>
      </c>
      <c r="M95" s="12" t="s">
        <v>874</v>
      </c>
      <c r="N95" s="12"/>
      <c r="O95" s="12" t="s">
        <v>875</v>
      </c>
    </row>
    <row r="96" spans="1:15" s="6" customFormat="1" ht="13.05" customHeight="1">
      <c r="A96" s="8">
        <v>91</v>
      </c>
      <c r="B96" s="30" t="s">
        <v>514</v>
      </c>
      <c r="C96" s="10" t="s">
        <v>2202</v>
      </c>
      <c r="D96" s="13" t="s">
        <v>2410</v>
      </c>
      <c r="E96" s="9" t="s">
        <v>16</v>
      </c>
      <c r="F96" s="9" t="s">
        <v>2397</v>
      </c>
      <c r="G96" s="9" t="s">
        <v>25</v>
      </c>
      <c r="H96" s="9" t="s">
        <v>13</v>
      </c>
      <c r="I96" s="15" t="s">
        <v>1838</v>
      </c>
      <c r="J96" s="11">
        <v>29429</v>
      </c>
      <c r="K96" s="9" t="str">
        <f t="shared" ca="1" si="1"/>
        <v>46 tahun, 0 bulan</v>
      </c>
      <c r="L96" s="12" t="s">
        <v>1341</v>
      </c>
      <c r="M96" s="12" t="s">
        <v>1342</v>
      </c>
      <c r="N96" s="12"/>
      <c r="O96" s="12" t="s">
        <v>1343</v>
      </c>
    </row>
    <row r="97" spans="1:15" s="6" customFormat="1" ht="13.05" customHeight="1">
      <c r="A97" s="8">
        <v>92</v>
      </c>
      <c r="B97" s="30" t="s">
        <v>522</v>
      </c>
      <c r="C97" s="10" t="s">
        <v>2065</v>
      </c>
      <c r="D97" s="13" t="s">
        <v>2030</v>
      </c>
      <c r="E97" s="9" t="s">
        <v>16</v>
      </c>
      <c r="F97" s="9" t="s">
        <v>2397</v>
      </c>
      <c r="G97" s="9" t="s">
        <v>25</v>
      </c>
      <c r="H97" s="9" t="s">
        <v>15</v>
      </c>
      <c r="I97" s="15" t="s">
        <v>1855</v>
      </c>
      <c r="J97" s="11">
        <v>29559</v>
      </c>
      <c r="K97" s="9" t="str">
        <f t="shared" ca="1" si="1"/>
        <v>45 tahun, 7 bulan</v>
      </c>
      <c r="L97" s="12" t="s">
        <v>876</v>
      </c>
      <c r="M97" s="12" t="s">
        <v>877</v>
      </c>
      <c r="N97" s="12" t="s">
        <v>878</v>
      </c>
      <c r="O97" s="12" t="s">
        <v>879</v>
      </c>
    </row>
    <row r="98" spans="1:15" s="6" customFormat="1" ht="13.05" customHeight="1">
      <c r="A98" s="8">
        <v>93</v>
      </c>
      <c r="B98" s="30" t="s">
        <v>523</v>
      </c>
      <c r="C98" s="10" t="s">
        <v>2066</v>
      </c>
      <c r="D98" s="13" t="s">
        <v>1938</v>
      </c>
      <c r="E98" s="9" t="s">
        <v>16</v>
      </c>
      <c r="F98" s="9" t="s">
        <v>2397</v>
      </c>
      <c r="G98" s="9" t="s">
        <v>25</v>
      </c>
      <c r="H98" s="9" t="s">
        <v>13</v>
      </c>
      <c r="I98" s="15" t="s">
        <v>1884</v>
      </c>
      <c r="J98" s="11">
        <v>29574</v>
      </c>
      <c r="K98" s="9" t="str">
        <f t="shared" ca="1" si="1"/>
        <v>45 tahun, 7 bulan</v>
      </c>
      <c r="L98" s="12" t="s">
        <v>1129</v>
      </c>
      <c r="M98" s="12" t="s">
        <v>1130</v>
      </c>
      <c r="N98" s="12" t="s">
        <v>1131</v>
      </c>
      <c r="O98" s="12"/>
    </row>
    <row r="99" spans="1:15" s="6" customFormat="1" ht="13.05" customHeight="1">
      <c r="A99" s="8">
        <v>94</v>
      </c>
      <c r="B99" s="30" t="s">
        <v>525</v>
      </c>
      <c r="C99" s="10" t="s">
        <v>2067</v>
      </c>
      <c r="D99" s="13" t="s">
        <v>524</v>
      </c>
      <c r="E99" s="9" t="s">
        <v>16</v>
      </c>
      <c r="F99" s="9" t="s">
        <v>2397</v>
      </c>
      <c r="G99" s="9" t="s">
        <v>25</v>
      </c>
      <c r="H99" s="9" t="s">
        <v>13</v>
      </c>
      <c r="I99" s="15" t="s">
        <v>1895</v>
      </c>
      <c r="J99" s="11">
        <v>29605</v>
      </c>
      <c r="K99" s="9" t="str">
        <f t="shared" ca="1" si="1"/>
        <v>45 tahun, 6 bulan</v>
      </c>
      <c r="L99" s="12" t="s">
        <v>1132</v>
      </c>
      <c r="M99" s="12" t="s">
        <v>1133</v>
      </c>
      <c r="N99" s="12" t="s">
        <v>1134</v>
      </c>
      <c r="O99" s="12" t="s">
        <v>1135</v>
      </c>
    </row>
    <row r="100" spans="1:15" s="6" customFormat="1" ht="13.05" customHeight="1">
      <c r="A100" s="8">
        <v>95</v>
      </c>
      <c r="B100" s="31" t="s">
        <v>527</v>
      </c>
      <c r="C100" s="10" t="s">
        <v>2411</v>
      </c>
      <c r="D100" s="13" t="s">
        <v>2585</v>
      </c>
      <c r="E100" s="9" t="s">
        <v>16</v>
      </c>
      <c r="F100" s="9" t="s">
        <v>2397</v>
      </c>
      <c r="G100" s="9" t="s">
        <v>25</v>
      </c>
      <c r="H100" s="9" t="s">
        <v>15</v>
      </c>
      <c r="I100" s="15" t="s">
        <v>1825</v>
      </c>
      <c r="J100" s="11">
        <v>29636</v>
      </c>
      <c r="K100" s="9" t="str">
        <f t="shared" ca="1" si="1"/>
        <v>45 tahun, 5 bulan</v>
      </c>
      <c r="L100" s="12" t="s">
        <v>880</v>
      </c>
      <c r="M100" s="12" t="s">
        <v>881</v>
      </c>
      <c r="N100" s="12" t="s">
        <v>882</v>
      </c>
      <c r="O100" s="12" t="s">
        <v>883</v>
      </c>
    </row>
    <row r="101" spans="1:15" s="6" customFormat="1" ht="13.05" customHeight="1">
      <c r="A101" s="8">
        <v>96</v>
      </c>
      <c r="B101" s="31" t="s">
        <v>528</v>
      </c>
      <c r="C101" s="10" t="s">
        <v>2083</v>
      </c>
      <c r="D101" s="13" t="s">
        <v>2584</v>
      </c>
      <c r="E101" s="9" t="s">
        <v>16</v>
      </c>
      <c r="F101" s="9" t="s">
        <v>2397</v>
      </c>
      <c r="G101" s="9" t="s">
        <v>25</v>
      </c>
      <c r="H101" s="9" t="s">
        <v>13</v>
      </c>
      <c r="I101" s="15" t="s">
        <v>1824</v>
      </c>
      <c r="J101" s="11">
        <v>29637</v>
      </c>
      <c r="K101" s="9" t="str">
        <f t="shared" ca="1" si="1"/>
        <v>45 tahun, 5 bulan</v>
      </c>
      <c r="L101" s="12" t="s">
        <v>884</v>
      </c>
      <c r="M101" s="12" t="s">
        <v>885</v>
      </c>
      <c r="N101" s="12" t="s">
        <v>886</v>
      </c>
      <c r="O101" s="12" t="s">
        <v>887</v>
      </c>
    </row>
    <row r="102" spans="1:15" s="6" customFormat="1" ht="13.05" customHeight="1">
      <c r="A102" s="8">
        <v>97</v>
      </c>
      <c r="B102" s="30" t="s">
        <v>539</v>
      </c>
      <c r="C102" s="10" t="s">
        <v>2163</v>
      </c>
      <c r="D102" s="13" t="s">
        <v>1986</v>
      </c>
      <c r="E102" s="9" t="s">
        <v>16</v>
      </c>
      <c r="F102" s="9" t="s">
        <v>2397</v>
      </c>
      <c r="G102" s="9" t="s">
        <v>57</v>
      </c>
      <c r="H102" s="9" t="s">
        <v>13</v>
      </c>
      <c r="I102" s="15" t="s">
        <v>1857</v>
      </c>
      <c r="J102" s="11">
        <v>29803</v>
      </c>
      <c r="K102" s="9" t="str">
        <f t="shared" ca="1" si="1"/>
        <v>44 tahun, 11 bulan</v>
      </c>
      <c r="L102" s="12" t="s">
        <v>1144</v>
      </c>
      <c r="M102" s="12" t="s">
        <v>1145</v>
      </c>
      <c r="N102" s="12" t="s">
        <v>1146</v>
      </c>
      <c r="O102" s="12" t="s">
        <v>1147</v>
      </c>
    </row>
    <row r="103" spans="1:15" s="6" customFormat="1" ht="13.05" customHeight="1">
      <c r="A103" s="8">
        <v>98</v>
      </c>
      <c r="B103" s="30" t="s">
        <v>541</v>
      </c>
      <c r="C103" s="10" t="s">
        <v>2204</v>
      </c>
      <c r="D103" s="13" t="s">
        <v>540</v>
      </c>
      <c r="E103" s="9" t="s">
        <v>16</v>
      </c>
      <c r="F103" s="9" t="s">
        <v>2397</v>
      </c>
      <c r="G103" s="9" t="s">
        <v>25</v>
      </c>
      <c r="H103" s="9" t="s">
        <v>13</v>
      </c>
      <c r="I103" s="15" t="s">
        <v>1825</v>
      </c>
      <c r="J103" s="11">
        <v>29854</v>
      </c>
      <c r="K103" s="9" t="str">
        <f t="shared" ca="1" si="1"/>
        <v>44 tahun, 10 bulan</v>
      </c>
      <c r="L103" s="12"/>
      <c r="M103" s="12"/>
      <c r="N103" s="12"/>
      <c r="O103" s="12"/>
    </row>
    <row r="104" spans="1:15" s="6" customFormat="1" ht="13.05" customHeight="1">
      <c r="A104" s="8">
        <v>99</v>
      </c>
      <c r="B104" s="30" t="s">
        <v>542</v>
      </c>
      <c r="C104" s="10" t="s">
        <v>2058</v>
      </c>
      <c r="D104" s="13" t="s">
        <v>1964</v>
      </c>
      <c r="E104" s="9" t="s">
        <v>16</v>
      </c>
      <c r="F104" s="9" t="s">
        <v>2397</v>
      </c>
      <c r="G104" s="9" t="s">
        <v>25</v>
      </c>
      <c r="H104" s="9" t="s">
        <v>15</v>
      </c>
      <c r="I104" s="15" t="s">
        <v>1824</v>
      </c>
      <c r="J104" s="11">
        <v>29869</v>
      </c>
      <c r="K104" s="9" t="str">
        <f t="shared" ca="1" si="1"/>
        <v>44 tahun, 9 bulan</v>
      </c>
      <c r="L104" s="12" t="s">
        <v>888</v>
      </c>
      <c r="M104" s="12" t="s">
        <v>889</v>
      </c>
      <c r="N104" s="12" t="s">
        <v>890</v>
      </c>
      <c r="O104" s="12" t="s">
        <v>891</v>
      </c>
    </row>
    <row r="105" spans="1:15" s="6" customFormat="1" ht="13.05" customHeight="1">
      <c r="A105" s="8">
        <v>100</v>
      </c>
      <c r="B105" s="30" t="s">
        <v>544</v>
      </c>
      <c r="C105" s="10" t="s">
        <v>2151</v>
      </c>
      <c r="D105" s="13" t="s">
        <v>543</v>
      </c>
      <c r="E105" s="9" t="s">
        <v>16</v>
      </c>
      <c r="F105" s="9" t="s">
        <v>2397</v>
      </c>
      <c r="G105" s="9" t="s">
        <v>25</v>
      </c>
      <c r="H105" s="9" t="s">
        <v>13</v>
      </c>
      <c r="I105" s="15" t="s">
        <v>1825</v>
      </c>
      <c r="J105" s="11">
        <v>29916</v>
      </c>
      <c r="K105" s="9" t="str">
        <f t="shared" ca="1" si="1"/>
        <v>44 tahun, 8 bulan</v>
      </c>
      <c r="L105" s="12" t="s">
        <v>1148</v>
      </c>
      <c r="M105" s="12" t="s">
        <v>1149</v>
      </c>
      <c r="N105" s="12" t="s">
        <v>1150</v>
      </c>
      <c r="O105" s="12" t="s">
        <v>1151</v>
      </c>
    </row>
    <row r="106" spans="1:15" s="6" customFormat="1" ht="13.05" customHeight="1">
      <c r="A106" s="8">
        <v>101</v>
      </c>
      <c r="B106" s="30" t="s">
        <v>546</v>
      </c>
      <c r="C106" s="10" t="s">
        <v>2063</v>
      </c>
      <c r="D106" s="13" t="s">
        <v>545</v>
      </c>
      <c r="E106" s="9" t="s">
        <v>16</v>
      </c>
      <c r="F106" s="9" t="s">
        <v>2397</v>
      </c>
      <c r="G106" s="9" t="s">
        <v>25</v>
      </c>
      <c r="H106" s="9" t="s">
        <v>15</v>
      </c>
      <c r="I106" s="15" t="s">
        <v>1824</v>
      </c>
      <c r="J106" s="11">
        <v>29980</v>
      </c>
      <c r="K106" s="9" t="str">
        <f t="shared" ca="1" si="1"/>
        <v>44 tahun, 6 bulan</v>
      </c>
      <c r="L106" s="12" t="s">
        <v>1152</v>
      </c>
      <c r="M106" s="12" t="s">
        <v>1153</v>
      </c>
      <c r="N106" s="12"/>
      <c r="O106" s="12" t="s">
        <v>1154</v>
      </c>
    </row>
    <row r="107" spans="1:15" s="6" customFormat="1" ht="13.05" customHeight="1">
      <c r="A107" s="8">
        <v>102</v>
      </c>
      <c r="B107" s="30" t="s">
        <v>554</v>
      </c>
      <c r="C107" s="10" t="s">
        <v>2206</v>
      </c>
      <c r="D107" s="13" t="s">
        <v>892</v>
      </c>
      <c r="E107" s="9" t="s">
        <v>16</v>
      </c>
      <c r="F107" s="9" t="s">
        <v>2397</v>
      </c>
      <c r="G107" s="9" t="s">
        <v>25</v>
      </c>
      <c r="H107" s="9" t="s">
        <v>15</v>
      </c>
      <c r="I107" s="15" t="s">
        <v>1910</v>
      </c>
      <c r="J107" s="11">
        <v>30267</v>
      </c>
      <c r="K107" s="9" t="str">
        <f t="shared" ca="1" si="1"/>
        <v>43 tahun, 8 bulan</v>
      </c>
      <c r="L107" s="12" t="s">
        <v>893</v>
      </c>
      <c r="M107" s="12" t="s">
        <v>894</v>
      </c>
      <c r="N107" s="12"/>
      <c r="O107" s="12" t="s">
        <v>895</v>
      </c>
    </row>
    <row r="108" spans="1:15" s="6" customFormat="1" ht="13.05" customHeight="1">
      <c r="A108" s="8">
        <v>103</v>
      </c>
      <c r="B108" s="30" t="s">
        <v>556</v>
      </c>
      <c r="C108" s="41" t="s">
        <v>2626</v>
      </c>
      <c r="D108" s="13" t="s">
        <v>555</v>
      </c>
      <c r="E108" s="9" t="s">
        <v>16</v>
      </c>
      <c r="F108" s="9" t="s">
        <v>2397</v>
      </c>
      <c r="G108" s="9" t="s">
        <v>25</v>
      </c>
      <c r="H108" s="9" t="s">
        <v>15</v>
      </c>
      <c r="I108" s="15" t="s">
        <v>1870</v>
      </c>
      <c r="J108" s="11">
        <v>30286</v>
      </c>
      <c r="K108" s="9" t="str">
        <f t="shared" ca="1" si="1"/>
        <v>43 tahun, 7 bulan</v>
      </c>
      <c r="L108" s="12" t="s">
        <v>896</v>
      </c>
      <c r="M108" s="12" t="s">
        <v>897</v>
      </c>
      <c r="N108" s="12"/>
      <c r="O108" s="12" t="s">
        <v>898</v>
      </c>
    </row>
    <row r="109" spans="1:15" s="6" customFormat="1" ht="13.05" customHeight="1">
      <c r="A109" s="8">
        <v>104</v>
      </c>
      <c r="B109" s="30" t="s">
        <v>570</v>
      </c>
      <c r="C109" s="10" t="s">
        <v>2110</v>
      </c>
      <c r="D109" s="13" t="s">
        <v>1966</v>
      </c>
      <c r="E109" s="9" t="s">
        <v>16</v>
      </c>
      <c r="F109" s="9" t="s">
        <v>2397</v>
      </c>
      <c r="G109" s="9" t="s">
        <v>25</v>
      </c>
      <c r="H109" s="9" t="s">
        <v>13</v>
      </c>
      <c r="I109" s="15" t="s">
        <v>1928</v>
      </c>
      <c r="J109" s="11">
        <v>30640</v>
      </c>
      <c r="K109" s="9" t="str">
        <f t="shared" ca="1" si="1"/>
        <v>42 tahun, 8 bulan</v>
      </c>
      <c r="L109" s="12" t="s">
        <v>1169</v>
      </c>
      <c r="M109" s="12" t="s">
        <v>1170</v>
      </c>
      <c r="N109" s="12"/>
      <c r="O109" s="12" t="s">
        <v>1171</v>
      </c>
    </row>
    <row r="110" spans="1:15" s="6" customFormat="1" ht="13.05" customHeight="1">
      <c r="A110" s="8">
        <v>105</v>
      </c>
      <c r="B110" s="30" t="s">
        <v>587</v>
      </c>
      <c r="C110" s="10" t="s">
        <v>2140</v>
      </c>
      <c r="D110" s="13" t="s">
        <v>586</v>
      </c>
      <c r="E110" s="9" t="s">
        <v>16</v>
      </c>
      <c r="F110" s="9" t="s">
        <v>2397</v>
      </c>
      <c r="G110" s="9" t="s">
        <v>25</v>
      </c>
      <c r="H110" s="9" t="s">
        <v>13</v>
      </c>
      <c r="I110" s="15" t="s">
        <v>1838</v>
      </c>
      <c r="J110" s="11">
        <v>31003</v>
      </c>
      <c r="K110" s="9" t="str">
        <f t="shared" ca="1" si="1"/>
        <v>41 tahun, 8 bulan</v>
      </c>
      <c r="L110" s="12" t="s">
        <v>1289</v>
      </c>
      <c r="M110" s="12" t="s">
        <v>1290</v>
      </c>
      <c r="N110" s="12"/>
      <c r="O110" s="12"/>
    </row>
    <row r="111" spans="1:15" s="6" customFormat="1" ht="13.05" customHeight="1">
      <c r="A111" s="8">
        <v>106</v>
      </c>
      <c r="B111" s="30" t="s">
        <v>589</v>
      </c>
      <c r="C111" s="10" t="s">
        <v>2412</v>
      </c>
      <c r="D111" s="13" t="s">
        <v>588</v>
      </c>
      <c r="E111" s="9" t="s">
        <v>16</v>
      </c>
      <c r="F111" s="9" t="s">
        <v>2397</v>
      </c>
      <c r="G111" s="9" t="s">
        <v>25</v>
      </c>
      <c r="H111" s="9" t="s">
        <v>13</v>
      </c>
      <c r="I111" s="15" t="s">
        <v>1912</v>
      </c>
      <c r="J111" s="11">
        <v>31019</v>
      </c>
      <c r="K111" s="9" t="str">
        <f t="shared" ca="1" si="1"/>
        <v>41 tahun, 7 bulan</v>
      </c>
      <c r="L111" s="12" t="s">
        <v>1175</v>
      </c>
      <c r="M111" s="12" t="s">
        <v>1176</v>
      </c>
      <c r="N111" s="12"/>
      <c r="O111" s="12" t="s">
        <v>1177</v>
      </c>
    </row>
    <row r="112" spans="1:15" s="6" customFormat="1" ht="13.05" customHeight="1">
      <c r="A112" s="8">
        <v>107</v>
      </c>
      <c r="B112" s="30" t="s">
        <v>606</v>
      </c>
      <c r="C112" s="10" t="s">
        <v>2135</v>
      </c>
      <c r="D112" s="13" t="s">
        <v>1981</v>
      </c>
      <c r="E112" s="9" t="s">
        <v>16</v>
      </c>
      <c r="F112" s="9" t="s">
        <v>2397</v>
      </c>
      <c r="G112" s="9" t="s">
        <v>25</v>
      </c>
      <c r="H112" s="9" t="s">
        <v>290</v>
      </c>
      <c r="I112" s="15" t="s">
        <v>1872</v>
      </c>
      <c r="J112" s="11">
        <v>31243</v>
      </c>
      <c r="K112" s="9" t="str">
        <f t="shared" ca="1" si="1"/>
        <v>41 tahun, 0 bulan</v>
      </c>
      <c r="L112" s="12" t="s">
        <v>1178</v>
      </c>
      <c r="M112" s="12" t="s">
        <v>1179</v>
      </c>
      <c r="N112" s="12" t="s">
        <v>1180</v>
      </c>
      <c r="O112" s="12" t="s">
        <v>1181</v>
      </c>
    </row>
    <row r="113" spans="1:15" s="6" customFormat="1" ht="13.05" customHeight="1">
      <c r="A113" s="8">
        <v>108</v>
      </c>
      <c r="B113" s="30" t="s">
        <v>612</v>
      </c>
      <c r="C113" s="10" t="s">
        <v>2133</v>
      </c>
      <c r="D113" s="13" t="s">
        <v>611</v>
      </c>
      <c r="E113" s="9" t="s">
        <v>16</v>
      </c>
      <c r="F113" s="9" t="s">
        <v>2397</v>
      </c>
      <c r="G113" s="9" t="s">
        <v>25</v>
      </c>
      <c r="H113" s="9" t="s">
        <v>15</v>
      </c>
      <c r="I113" s="15" t="s">
        <v>1887</v>
      </c>
      <c r="J113" s="11">
        <v>31351</v>
      </c>
      <c r="K113" s="9" t="str">
        <f t="shared" ca="1" si="1"/>
        <v>40 tahun, 8 bulan</v>
      </c>
      <c r="L113" s="12" t="s">
        <v>1182</v>
      </c>
      <c r="M113" s="12" t="s">
        <v>1183</v>
      </c>
      <c r="N113" s="12"/>
      <c r="O113" s="12" t="s">
        <v>1184</v>
      </c>
    </row>
    <row r="114" spans="1:15" s="6" customFormat="1" ht="13.05" customHeight="1">
      <c r="A114" s="8">
        <v>109</v>
      </c>
      <c r="B114" s="31" t="s">
        <v>618</v>
      </c>
      <c r="C114" s="10" t="s">
        <v>2142</v>
      </c>
      <c r="D114" s="13" t="s">
        <v>617</v>
      </c>
      <c r="E114" s="9" t="s">
        <v>16</v>
      </c>
      <c r="F114" s="9" t="s">
        <v>2397</v>
      </c>
      <c r="G114" s="9" t="s">
        <v>25</v>
      </c>
      <c r="H114" s="9" t="s">
        <v>13</v>
      </c>
      <c r="I114" s="15" t="s">
        <v>1899</v>
      </c>
      <c r="J114" s="11">
        <v>31456</v>
      </c>
      <c r="K114" s="9" t="str">
        <f t="shared" ca="1" si="1"/>
        <v>40 tahun, 5 bulan</v>
      </c>
      <c r="L114" s="12" t="s">
        <v>1371</v>
      </c>
      <c r="M114" s="12" t="s">
        <v>1372</v>
      </c>
      <c r="N114" s="12"/>
      <c r="O114" s="12" t="s">
        <v>1373</v>
      </c>
    </row>
    <row r="115" spans="1:15" s="6" customFormat="1" ht="13.05" customHeight="1">
      <c r="A115" s="8">
        <v>110</v>
      </c>
      <c r="B115" s="30" t="s">
        <v>620</v>
      </c>
      <c r="C115" s="10" t="s">
        <v>2153</v>
      </c>
      <c r="D115" s="13" t="s">
        <v>619</v>
      </c>
      <c r="E115" s="9" t="s">
        <v>16</v>
      </c>
      <c r="F115" s="9" t="s">
        <v>2397</v>
      </c>
      <c r="G115" s="9" t="s">
        <v>25</v>
      </c>
      <c r="H115" s="9" t="s">
        <v>13</v>
      </c>
      <c r="I115" s="15" t="s">
        <v>1825</v>
      </c>
      <c r="J115" s="11">
        <v>31497</v>
      </c>
      <c r="K115" s="9" t="str">
        <f t="shared" ca="1" si="1"/>
        <v>40 tahun, 4 bulan</v>
      </c>
      <c r="L115" s="12" t="s">
        <v>1374</v>
      </c>
      <c r="M115" s="12" t="s">
        <v>1375</v>
      </c>
      <c r="N115" s="12"/>
      <c r="O115" s="12" t="s">
        <v>1376</v>
      </c>
    </row>
    <row r="116" spans="1:15" s="6" customFormat="1" ht="13.05" customHeight="1">
      <c r="A116" s="8">
        <v>111</v>
      </c>
      <c r="B116" s="30" t="s">
        <v>626</v>
      </c>
      <c r="C116" s="10" t="s">
        <v>2108</v>
      </c>
      <c r="D116" s="13" t="s">
        <v>625</v>
      </c>
      <c r="E116" s="9" t="s">
        <v>16</v>
      </c>
      <c r="F116" s="9" t="s">
        <v>2397</v>
      </c>
      <c r="G116" s="9" t="s">
        <v>25</v>
      </c>
      <c r="H116" s="9" t="s">
        <v>13</v>
      </c>
      <c r="I116" s="15" t="s">
        <v>1902</v>
      </c>
      <c r="J116" s="11">
        <v>31584</v>
      </c>
      <c r="K116" s="9" t="str">
        <f t="shared" ca="1" si="1"/>
        <v>40 tahun, 1 bulan</v>
      </c>
      <c r="L116" s="12" t="s">
        <v>1380</v>
      </c>
      <c r="M116" s="12" t="s">
        <v>1381</v>
      </c>
      <c r="N116" s="12" t="s">
        <v>1382</v>
      </c>
      <c r="O116" s="12" t="s">
        <v>1383</v>
      </c>
    </row>
    <row r="117" spans="1:15" s="6" customFormat="1" ht="13.05" customHeight="1">
      <c r="A117" s="8">
        <v>112</v>
      </c>
      <c r="B117" s="30" t="s">
        <v>632</v>
      </c>
      <c r="C117" s="10" t="s">
        <v>2149</v>
      </c>
      <c r="D117" s="13" t="s">
        <v>631</v>
      </c>
      <c r="E117" s="9" t="s">
        <v>16</v>
      </c>
      <c r="F117" s="9" t="s">
        <v>2397</v>
      </c>
      <c r="G117" s="9" t="s">
        <v>25</v>
      </c>
      <c r="H117" s="9" t="s">
        <v>13</v>
      </c>
      <c r="I117" s="15" t="s">
        <v>1824</v>
      </c>
      <c r="J117" s="11">
        <v>31697</v>
      </c>
      <c r="K117" s="9" t="str">
        <f t="shared" ca="1" si="1"/>
        <v>39 tahun, 9 bulan</v>
      </c>
      <c r="L117" s="12" t="s">
        <v>1305</v>
      </c>
      <c r="M117" s="12" t="s">
        <v>1306</v>
      </c>
      <c r="N117" s="12"/>
      <c r="O117" s="12" t="s">
        <v>1307</v>
      </c>
    </row>
    <row r="118" spans="1:15" s="6" customFormat="1" ht="13.05" customHeight="1">
      <c r="A118" s="8">
        <v>113</v>
      </c>
      <c r="B118" s="30" t="s">
        <v>646</v>
      </c>
      <c r="C118" s="10" t="s">
        <v>2172</v>
      </c>
      <c r="D118" s="13" t="s">
        <v>645</v>
      </c>
      <c r="E118" s="9" t="s">
        <v>16</v>
      </c>
      <c r="F118" s="9" t="s">
        <v>2397</v>
      </c>
      <c r="G118" s="9" t="s">
        <v>57</v>
      </c>
      <c r="H118" s="9" t="s">
        <v>15</v>
      </c>
      <c r="I118" s="15" t="s">
        <v>1825</v>
      </c>
      <c r="J118" s="11">
        <v>31890</v>
      </c>
      <c r="K118" s="9" t="str">
        <f t="shared" ca="1" si="1"/>
        <v>39 tahun, 3 bulan</v>
      </c>
      <c r="L118" s="12" t="s">
        <v>1308</v>
      </c>
      <c r="M118" s="12" t="s">
        <v>1309</v>
      </c>
      <c r="N118" s="12"/>
      <c r="O118" s="12" t="s">
        <v>1310</v>
      </c>
    </row>
    <row r="119" spans="1:15" s="6" customFormat="1" ht="13.05" customHeight="1">
      <c r="A119" s="8">
        <v>114</v>
      </c>
      <c r="B119" s="31" t="s">
        <v>648</v>
      </c>
      <c r="C119" s="10" t="s">
        <v>2171</v>
      </c>
      <c r="D119" s="13" t="s">
        <v>647</v>
      </c>
      <c r="E119" s="9" t="s">
        <v>16</v>
      </c>
      <c r="F119" s="9" t="s">
        <v>2397</v>
      </c>
      <c r="G119" s="9" t="s">
        <v>25</v>
      </c>
      <c r="H119" s="9" t="s">
        <v>13</v>
      </c>
      <c r="I119" s="15" t="s">
        <v>1848</v>
      </c>
      <c r="J119" s="11">
        <v>31989</v>
      </c>
      <c r="K119" s="9" t="str">
        <f t="shared" ca="1" si="1"/>
        <v>38 tahun, 11 bulan</v>
      </c>
      <c r="L119" s="12" t="s">
        <v>1311</v>
      </c>
      <c r="M119" s="12" t="s">
        <v>1312</v>
      </c>
      <c r="N119" s="12" t="s">
        <v>1313</v>
      </c>
      <c r="O119" s="12" t="s">
        <v>1314</v>
      </c>
    </row>
    <row r="120" spans="1:15" s="6" customFormat="1" ht="13.05" customHeight="1">
      <c r="A120" s="8">
        <v>115</v>
      </c>
      <c r="B120" s="31" t="s">
        <v>654</v>
      </c>
      <c r="C120" s="10" t="s">
        <v>2174</v>
      </c>
      <c r="D120" s="13" t="s">
        <v>653</v>
      </c>
      <c r="E120" s="9" t="s">
        <v>16</v>
      </c>
      <c r="F120" s="9" t="s">
        <v>2397</v>
      </c>
      <c r="G120" s="9" t="s">
        <v>57</v>
      </c>
      <c r="H120" s="9" t="s">
        <v>13</v>
      </c>
      <c r="I120" s="15" t="s">
        <v>1846</v>
      </c>
      <c r="J120" s="11">
        <v>32319</v>
      </c>
      <c r="K120" s="9" t="str">
        <f t="shared" ca="1" si="1"/>
        <v>38 tahun, 1 bulan</v>
      </c>
      <c r="L120" s="12" t="s">
        <v>1391</v>
      </c>
      <c r="M120" s="35" t="s">
        <v>1392</v>
      </c>
      <c r="N120" s="12" t="s">
        <v>1393</v>
      </c>
      <c r="O120" s="12" t="s">
        <v>1394</v>
      </c>
    </row>
    <row r="121" spans="1:15" s="6" customFormat="1" ht="13.05" customHeight="1">
      <c r="A121" s="8">
        <v>116</v>
      </c>
      <c r="B121" s="31" t="s">
        <v>661</v>
      </c>
      <c r="C121" s="10" t="s">
        <v>2203</v>
      </c>
      <c r="D121" s="13" t="s">
        <v>2622</v>
      </c>
      <c r="E121" s="9" t="s">
        <v>16</v>
      </c>
      <c r="F121" s="9" t="s">
        <v>2397</v>
      </c>
      <c r="G121" s="9" t="s">
        <v>25</v>
      </c>
      <c r="H121" s="9" t="s">
        <v>13</v>
      </c>
      <c r="I121" s="15" t="s">
        <v>1872</v>
      </c>
      <c r="J121" s="11">
        <v>32684</v>
      </c>
      <c r="K121" s="9" t="str">
        <f t="shared" ca="1" si="1"/>
        <v>37 tahun, 1 bulan</v>
      </c>
      <c r="L121" s="12" t="s">
        <v>1395</v>
      </c>
      <c r="M121" s="12" t="s">
        <v>1396</v>
      </c>
      <c r="N121" s="12"/>
      <c r="O121" s="12" t="s">
        <v>1397</v>
      </c>
    </row>
    <row r="122" spans="1:15" s="6" customFormat="1" ht="13.05" customHeight="1">
      <c r="A122" s="8">
        <v>117</v>
      </c>
      <c r="B122" s="30" t="s">
        <v>663</v>
      </c>
      <c r="C122" s="41" t="s">
        <v>2109</v>
      </c>
      <c r="D122" s="13" t="s">
        <v>662</v>
      </c>
      <c r="E122" s="9" t="s">
        <v>16</v>
      </c>
      <c r="F122" s="9" t="s">
        <v>2397</v>
      </c>
      <c r="G122" s="9" t="s">
        <v>25</v>
      </c>
      <c r="H122" s="9" t="s">
        <v>13</v>
      </c>
      <c r="I122" s="15" t="s">
        <v>1823</v>
      </c>
      <c r="J122" s="11">
        <v>32698</v>
      </c>
      <c r="K122" s="9" t="str">
        <f t="shared" ca="1" si="1"/>
        <v>37 tahun, 0 bulan</v>
      </c>
      <c r="L122" s="12" t="s">
        <v>1189</v>
      </c>
      <c r="M122" s="12" t="s">
        <v>1190</v>
      </c>
      <c r="N122" s="12"/>
      <c r="O122" s="12" t="s">
        <v>1191</v>
      </c>
    </row>
    <row r="123" spans="1:15" s="6" customFormat="1" ht="13.05" customHeight="1">
      <c r="A123" s="8">
        <v>118</v>
      </c>
      <c r="B123" s="31" t="s">
        <v>669</v>
      </c>
      <c r="C123" s="10" t="s">
        <v>2208</v>
      </c>
      <c r="D123" s="13" t="s">
        <v>668</v>
      </c>
      <c r="E123" s="9" t="s">
        <v>16</v>
      </c>
      <c r="F123" s="9" t="s">
        <v>2397</v>
      </c>
      <c r="G123" s="9" t="s">
        <v>25</v>
      </c>
      <c r="H123" s="9" t="s">
        <v>15</v>
      </c>
      <c r="I123" s="15" t="s">
        <v>1825</v>
      </c>
      <c r="J123" s="11">
        <v>32946</v>
      </c>
      <c r="K123" s="9" t="str">
        <f t="shared" ca="1" si="1"/>
        <v>36 tahun, 4 bulan</v>
      </c>
      <c r="L123" s="12" t="s">
        <v>1321</v>
      </c>
      <c r="M123" s="12" t="s">
        <v>1322</v>
      </c>
      <c r="N123" s="12"/>
      <c r="O123" s="12" t="s">
        <v>1323</v>
      </c>
    </row>
    <row r="124" spans="1:15" s="6" customFormat="1" ht="13.05" customHeight="1">
      <c r="A124" s="8">
        <v>119</v>
      </c>
      <c r="B124" s="30" t="s">
        <v>673</v>
      </c>
      <c r="C124" s="10" t="s">
        <v>2173</v>
      </c>
      <c r="D124" s="13" t="s">
        <v>672</v>
      </c>
      <c r="E124" s="9" t="s">
        <v>16</v>
      </c>
      <c r="F124" s="9" t="s">
        <v>2397</v>
      </c>
      <c r="G124" s="9" t="s">
        <v>57</v>
      </c>
      <c r="H124" s="9" t="s">
        <v>13</v>
      </c>
      <c r="I124" s="15" t="s">
        <v>1846</v>
      </c>
      <c r="J124" s="11">
        <v>33234</v>
      </c>
      <c r="K124" s="9" t="str">
        <f t="shared" ca="1" si="1"/>
        <v>35 tahun, 7 bulan</v>
      </c>
      <c r="L124" s="12" t="s">
        <v>1405</v>
      </c>
      <c r="M124" s="12" t="s">
        <v>1406</v>
      </c>
      <c r="N124" s="12"/>
      <c r="O124" s="12" t="s">
        <v>1407</v>
      </c>
    </row>
    <row r="125" spans="1:15" s="6" customFormat="1" ht="13.05" customHeight="1">
      <c r="A125" s="8">
        <v>120</v>
      </c>
      <c r="B125" s="30" t="s">
        <v>675</v>
      </c>
      <c r="C125" s="10" t="s">
        <v>2207</v>
      </c>
      <c r="D125" s="13" t="s">
        <v>674</v>
      </c>
      <c r="E125" s="9" t="s">
        <v>16</v>
      </c>
      <c r="F125" s="9" t="s">
        <v>2397</v>
      </c>
      <c r="G125" s="9" t="s">
        <v>25</v>
      </c>
      <c r="H125" s="9" t="s">
        <v>15</v>
      </c>
      <c r="I125" s="15" t="s">
        <v>1852</v>
      </c>
      <c r="J125" s="11">
        <v>33424</v>
      </c>
      <c r="K125" s="9" t="str">
        <f t="shared" ca="1" si="1"/>
        <v>35 tahun, 0 bulan</v>
      </c>
      <c r="L125" s="12" t="s">
        <v>1408</v>
      </c>
      <c r="M125" s="12" t="s">
        <v>1409</v>
      </c>
      <c r="N125" s="12" t="s">
        <v>1410</v>
      </c>
      <c r="O125" s="12" t="s">
        <v>1411</v>
      </c>
    </row>
    <row r="126" spans="1:15" s="6" customFormat="1" ht="13.05" customHeight="1">
      <c r="A126" s="8">
        <v>121</v>
      </c>
      <c r="B126" s="30" t="s">
        <v>676</v>
      </c>
      <c r="C126" s="10" t="s">
        <v>2209</v>
      </c>
      <c r="D126" s="13" t="s">
        <v>1962</v>
      </c>
      <c r="E126" s="9" t="s">
        <v>16</v>
      </c>
      <c r="F126" s="9" t="s">
        <v>2397</v>
      </c>
      <c r="G126" s="9" t="s">
        <v>25</v>
      </c>
      <c r="H126" s="9" t="s">
        <v>13</v>
      </c>
      <c r="I126" s="15" t="s">
        <v>1924</v>
      </c>
      <c r="J126" s="11">
        <v>33532</v>
      </c>
      <c r="K126" s="9" t="str">
        <f t="shared" ca="1" si="1"/>
        <v>34 tahun, 9 bulan</v>
      </c>
      <c r="L126" s="12" t="s">
        <v>1412</v>
      </c>
      <c r="M126" s="12" t="s">
        <v>1413</v>
      </c>
      <c r="N126" s="12"/>
      <c r="O126" s="12" t="s">
        <v>1414</v>
      </c>
    </row>
    <row r="127" spans="1:15" s="6" customFormat="1" ht="13.05" customHeight="1">
      <c r="A127" s="8">
        <v>122</v>
      </c>
      <c r="B127" s="30" t="s">
        <v>678</v>
      </c>
      <c r="C127" s="10" t="s">
        <v>2106</v>
      </c>
      <c r="D127" s="13" t="s">
        <v>677</v>
      </c>
      <c r="E127" s="9" t="s">
        <v>16</v>
      </c>
      <c r="F127" s="9" t="s">
        <v>2397</v>
      </c>
      <c r="G127" s="9" t="s">
        <v>25</v>
      </c>
      <c r="H127" s="9" t="s">
        <v>13</v>
      </c>
      <c r="I127" s="15" t="s">
        <v>1838</v>
      </c>
      <c r="J127" s="11">
        <v>33873</v>
      </c>
      <c r="K127" s="9" t="str">
        <f t="shared" ca="1" si="1"/>
        <v>33 tahun, 10 bulan</v>
      </c>
      <c r="L127" s="12" t="s">
        <v>1415</v>
      </c>
      <c r="M127" s="12" t="s">
        <v>1416</v>
      </c>
      <c r="N127" s="12"/>
      <c r="O127" s="12" t="s">
        <v>1417</v>
      </c>
    </row>
    <row r="128" spans="1:15" s="6" customFormat="1" ht="13.05" customHeight="1">
      <c r="A128" s="8">
        <v>123</v>
      </c>
      <c r="B128" s="30" t="s">
        <v>2010</v>
      </c>
      <c r="C128" s="10" t="s">
        <v>2215</v>
      </c>
      <c r="D128" s="13" t="s">
        <v>2009</v>
      </c>
      <c r="E128" s="9" t="s">
        <v>16</v>
      </c>
      <c r="F128" s="9" t="s">
        <v>2397</v>
      </c>
      <c r="G128" s="9" t="s">
        <v>25</v>
      </c>
      <c r="H128" s="9" t="s">
        <v>290</v>
      </c>
      <c r="I128" s="15" t="s">
        <v>2034</v>
      </c>
      <c r="J128" s="11">
        <v>34155</v>
      </c>
      <c r="K128" s="9" t="str">
        <f t="shared" ca="1" si="1"/>
        <v>33 tahun, 0 bulan</v>
      </c>
      <c r="L128" s="12"/>
      <c r="M128" s="12"/>
      <c r="N128" s="12"/>
      <c r="O128" s="12" t="s">
        <v>2017</v>
      </c>
    </row>
    <row r="129" spans="1:15" s="6" customFormat="1" ht="13.05" customHeight="1">
      <c r="A129" s="8">
        <v>124</v>
      </c>
      <c r="B129" s="30" t="s">
        <v>682</v>
      </c>
      <c r="C129" s="41" t="s">
        <v>2602</v>
      </c>
      <c r="D129" s="13" t="s">
        <v>2008</v>
      </c>
      <c r="E129" s="9" t="s">
        <v>16</v>
      </c>
      <c r="F129" s="9" t="s">
        <v>2397</v>
      </c>
      <c r="G129" s="9" t="s">
        <v>25</v>
      </c>
      <c r="H129" s="9" t="s">
        <v>13</v>
      </c>
      <c r="I129" s="15" t="s">
        <v>1825</v>
      </c>
      <c r="J129" s="11">
        <v>34278</v>
      </c>
      <c r="K129" s="9" t="str">
        <f t="shared" ca="1" si="1"/>
        <v>32 tahun, 8 bulan</v>
      </c>
      <c r="L129" s="12"/>
      <c r="M129" s="12" t="s">
        <v>1420</v>
      </c>
      <c r="N129" s="12"/>
      <c r="O129" s="12"/>
    </row>
    <row r="130" spans="1:15" s="6" customFormat="1" ht="13.05" customHeight="1">
      <c r="A130" s="8">
        <v>125</v>
      </c>
      <c r="B130" s="30" t="s">
        <v>2048</v>
      </c>
      <c r="C130" s="10" t="s">
        <v>2400</v>
      </c>
      <c r="D130" s="13" t="s">
        <v>2018</v>
      </c>
      <c r="E130" s="9" t="s">
        <v>16</v>
      </c>
      <c r="F130" s="9" t="s">
        <v>2397</v>
      </c>
      <c r="G130" s="9" t="s">
        <v>25</v>
      </c>
      <c r="H130" s="9" t="s">
        <v>290</v>
      </c>
      <c r="I130" s="15" t="s">
        <v>2036</v>
      </c>
      <c r="J130" s="11">
        <v>36176</v>
      </c>
      <c r="K130" s="9" t="str">
        <f t="shared" ca="1" si="1"/>
        <v>27 tahun, 6 bulan</v>
      </c>
      <c r="L130" s="12"/>
      <c r="M130" s="12"/>
      <c r="N130" s="12"/>
      <c r="O130" s="12" t="s">
        <v>2019</v>
      </c>
    </row>
    <row r="131" spans="1:15" s="6" customFormat="1" ht="13.05" customHeight="1">
      <c r="A131" s="8">
        <v>126</v>
      </c>
      <c r="B131" s="30" t="s">
        <v>2027</v>
      </c>
      <c r="C131" s="10" t="s">
        <v>2401</v>
      </c>
      <c r="D131" s="13" t="s">
        <v>2026</v>
      </c>
      <c r="E131" s="9" t="s">
        <v>16</v>
      </c>
      <c r="F131" s="9" t="s">
        <v>2397</v>
      </c>
      <c r="G131" s="9" t="s">
        <v>25</v>
      </c>
      <c r="H131" s="9" t="s">
        <v>290</v>
      </c>
      <c r="I131" s="15" t="s">
        <v>2032</v>
      </c>
      <c r="J131" s="11">
        <v>34978</v>
      </c>
      <c r="K131" s="9" t="str">
        <f t="shared" ca="1" si="1"/>
        <v>30 tahun, 9 bulan</v>
      </c>
      <c r="L131" s="12"/>
      <c r="M131" s="12"/>
      <c r="N131" s="12"/>
      <c r="O131" s="12"/>
    </row>
    <row r="132" spans="1:15" s="6" customFormat="1" ht="13.05" customHeight="1">
      <c r="A132" s="8">
        <v>127</v>
      </c>
      <c r="B132" s="30" t="s">
        <v>2028</v>
      </c>
      <c r="C132" s="41" t="s">
        <v>2623</v>
      </c>
      <c r="D132" s="13" t="s">
        <v>2029</v>
      </c>
      <c r="E132" s="9" t="s">
        <v>16</v>
      </c>
      <c r="F132" s="9" t="s">
        <v>29</v>
      </c>
      <c r="G132" s="9" t="s">
        <v>25</v>
      </c>
      <c r="H132" s="9" t="s">
        <v>15</v>
      </c>
      <c r="I132" s="15" t="s">
        <v>1865</v>
      </c>
      <c r="J132" s="11">
        <v>32008</v>
      </c>
      <c r="K132" s="9" t="str">
        <f t="shared" ref="K132:K187" ca="1" si="2">DATEDIF(J132,$B$3,"Y")&amp;" tahun, "&amp;DATEDIF(J132,$B$3,"Ym")&amp;" bulan"</f>
        <v>38 tahun, 11 bulan</v>
      </c>
      <c r="L132" s="11"/>
      <c r="M132" s="11"/>
      <c r="N132" s="9"/>
      <c r="O132" s="9"/>
    </row>
    <row r="133" spans="1:15" s="6" customFormat="1" ht="13.05" customHeight="1">
      <c r="A133" s="8">
        <v>128</v>
      </c>
      <c r="B133" s="30" t="s">
        <v>152</v>
      </c>
      <c r="C133" s="10" t="s">
        <v>2353</v>
      </c>
      <c r="D133" s="13" t="s">
        <v>151</v>
      </c>
      <c r="E133" s="9" t="s">
        <v>47</v>
      </c>
      <c r="F133" s="9" t="s">
        <v>29</v>
      </c>
      <c r="G133" s="9" t="s">
        <v>25</v>
      </c>
      <c r="H133" s="9" t="s">
        <v>15</v>
      </c>
      <c r="I133" s="15" t="s">
        <v>1825</v>
      </c>
      <c r="J133" s="11">
        <v>24302</v>
      </c>
      <c r="K133" s="9" t="str">
        <f t="shared" ca="1" si="2"/>
        <v>60 tahun, 0 bulan</v>
      </c>
      <c r="L133" s="12" t="s">
        <v>1735</v>
      </c>
      <c r="M133" s="12" t="s">
        <v>1736</v>
      </c>
      <c r="N133" s="12"/>
      <c r="O133" s="12" t="s">
        <v>1737</v>
      </c>
    </row>
    <row r="134" spans="1:15" s="6" customFormat="1" ht="13.05" customHeight="1">
      <c r="A134" s="8">
        <v>129</v>
      </c>
      <c r="B134" s="30" t="s">
        <v>259</v>
      </c>
      <c r="C134" s="10" t="s">
        <v>2366</v>
      </c>
      <c r="D134" s="13" t="s">
        <v>258</v>
      </c>
      <c r="E134" s="9" t="s">
        <v>47</v>
      </c>
      <c r="F134" s="9" t="s">
        <v>29</v>
      </c>
      <c r="G134" s="9" t="s">
        <v>25</v>
      </c>
      <c r="H134" s="9" t="s">
        <v>15</v>
      </c>
      <c r="I134" s="15" t="s">
        <v>1824</v>
      </c>
      <c r="J134" s="11">
        <v>26066</v>
      </c>
      <c r="K134" s="9" t="str">
        <f t="shared" ca="1" si="2"/>
        <v>55 tahun, 2 bulan</v>
      </c>
      <c r="L134" s="12" t="s">
        <v>1763</v>
      </c>
      <c r="M134" s="12" t="s">
        <v>1764</v>
      </c>
      <c r="N134" s="12"/>
      <c r="O134" s="12" t="s">
        <v>1765</v>
      </c>
    </row>
    <row r="135" spans="1:15" s="6" customFormat="1" ht="13.05" customHeight="1">
      <c r="A135" s="8">
        <v>130</v>
      </c>
      <c r="B135" s="30" t="s">
        <v>279</v>
      </c>
      <c r="C135" s="10" t="s">
        <v>2352</v>
      </c>
      <c r="D135" s="13" t="s">
        <v>278</v>
      </c>
      <c r="E135" s="9" t="s">
        <v>47</v>
      </c>
      <c r="F135" s="9" t="s">
        <v>29</v>
      </c>
      <c r="G135" s="9" t="s">
        <v>25</v>
      </c>
      <c r="H135" s="9" t="s">
        <v>13</v>
      </c>
      <c r="I135" s="15" t="s">
        <v>1825</v>
      </c>
      <c r="J135" s="11">
        <v>26257</v>
      </c>
      <c r="K135" s="9" t="str">
        <f t="shared" ca="1" si="2"/>
        <v>54 tahun, 8 bulan</v>
      </c>
      <c r="L135" s="12" t="s">
        <v>1643</v>
      </c>
      <c r="M135" s="12" t="s">
        <v>1644</v>
      </c>
      <c r="N135" s="12"/>
      <c r="O135" s="12" t="s">
        <v>1645</v>
      </c>
    </row>
    <row r="136" spans="1:15" s="6" customFormat="1" ht="13.05" customHeight="1">
      <c r="A136" s="8">
        <v>131</v>
      </c>
      <c r="B136" s="30" t="s">
        <v>299</v>
      </c>
      <c r="C136" s="10" t="s">
        <v>2350</v>
      </c>
      <c r="D136" s="13" t="s">
        <v>298</v>
      </c>
      <c r="E136" s="9" t="s">
        <v>47</v>
      </c>
      <c r="F136" s="9" t="s">
        <v>29</v>
      </c>
      <c r="G136" s="9" t="s">
        <v>25</v>
      </c>
      <c r="H136" s="9" t="s">
        <v>13</v>
      </c>
      <c r="I136" s="15" t="s">
        <v>1878</v>
      </c>
      <c r="J136" s="11">
        <v>26738</v>
      </c>
      <c r="K136" s="9" t="str">
        <f t="shared" ca="1" si="2"/>
        <v>53 tahun, 4 bulan</v>
      </c>
      <c r="L136" s="12" t="s">
        <v>1769</v>
      </c>
      <c r="M136" s="12" t="s">
        <v>1770</v>
      </c>
      <c r="N136" s="12" t="s">
        <v>1771</v>
      </c>
      <c r="O136" s="12" t="s">
        <v>1772</v>
      </c>
    </row>
    <row r="137" spans="1:15" s="6" customFormat="1" ht="13.05" customHeight="1">
      <c r="A137" s="8">
        <v>132</v>
      </c>
      <c r="B137" s="31" t="s">
        <v>305</v>
      </c>
      <c r="C137" s="41" t="s">
        <v>2348</v>
      </c>
      <c r="D137" s="13" t="s">
        <v>2582</v>
      </c>
      <c r="E137" s="9" t="s">
        <v>47</v>
      </c>
      <c r="F137" s="9" t="s">
        <v>2397</v>
      </c>
      <c r="G137" s="9" t="s">
        <v>25</v>
      </c>
      <c r="H137" s="9" t="s">
        <v>13</v>
      </c>
      <c r="I137" s="15" t="s">
        <v>1825</v>
      </c>
      <c r="J137" s="11">
        <v>26817</v>
      </c>
      <c r="K137" s="9" t="str">
        <f t="shared" ca="1" si="2"/>
        <v>53 tahun, 1 bulan</v>
      </c>
      <c r="L137" s="12" t="s">
        <v>844</v>
      </c>
      <c r="M137" s="12" t="s">
        <v>845</v>
      </c>
      <c r="N137" s="12" t="s">
        <v>846</v>
      </c>
      <c r="O137" s="12" t="s">
        <v>847</v>
      </c>
    </row>
    <row r="138" spans="1:15" s="6" customFormat="1" ht="13.05" customHeight="1">
      <c r="A138" s="8">
        <v>133</v>
      </c>
      <c r="B138" s="30" t="s">
        <v>335</v>
      </c>
      <c r="C138" s="10" t="s">
        <v>2347</v>
      </c>
      <c r="D138" s="13" t="s">
        <v>334</v>
      </c>
      <c r="E138" s="9" t="s">
        <v>47</v>
      </c>
      <c r="F138" s="9" t="s">
        <v>29</v>
      </c>
      <c r="G138" s="9" t="s">
        <v>25</v>
      </c>
      <c r="H138" s="9" t="s">
        <v>13</v>
      </c>
      <c r="I138" s="15" t="s">
        <v>1900</v>
      </c>
      <c r="J138" s="11">
        <v>27381</v>
      </c>
      <c r="K138" s="9" t="str">
        <f t="shared" ca="1" si="2"/>
        <v>51 tahun, 7 bulan</v>
      </c>
      <c r="L138" s="12" t="s">
        <v>1432</v>
      </c>
      <c r="M138" s="12" t="s">
        <v>1433</v>
      </c>
      <c r="N138" s="12"/>
      <c r="O138" s="12" t="s">
        <v>1434</v>
      </c>
    </row>
    <row r="139" spans="1:15" s="6" customFormat="1" ht="13.05" customHeight="1">
      <c r="A139" s="8">
        <v>134</v>
      </c>
      <c r="B139" s="31" t="s">
        <v>350</v>
      </c>
      <c r="C139" s="10" t="s">
        <v>2092</v>
      </c>
      <c r="D139" s="13" t="s">
        <v>2413</v>
      </c>
      <c r="E139" s="9" t="s">
        <v>47</v>
      </c>
      <c r="F139" s="9" t="s">
        <v>29</v>
      </c>
      <c r="G139" s="9" t="s">
        <v>25</v>
      </c>
      <c r="H139" s="9" t="s">
        <v>13</v>
      </c>
      <c r="I139" s="15" t="s">
        <v>1865</v>
      </c>
      <c r="J139" s="11">
        <v>27503</v>
      </c>
      <c r="K139" s="9" t="str">
        <f t="shared" ca="1" si="2"/>
        <v>51 tahun, 3 bulan</v>
      </c>
      <c r="L139" s="12" t="s">
        <v>1658</v>
      </c>
      <c r="M139" s="12" t="s">
        <v>1659</v>
      </c>
      <c r="N139" s="12"/>
      <c r="O139" s="12"/>
    </row>
    <row r="140" spans="1:15" s="6" customFormat="1" ht="13.05" customHeight="1">
      <c r="A140" s="8">
        <v>135</v>
      </c>
      <c r="B140" s="30" t="s">
        <v>395</v>
      </c>
      <c r="C140" s="10" t="s">
        <v>2351</v>
      </c>
      <c r="D140" s="13" t="s">
        <v>394</v>
      </c>
      <c r="E140" s="9" t="s">
        <v>47</v>
      </c>
      <c r="F140" s="9" t="s">
        <v>29</v>
      </c>
      <c r="G140" s="9" t="s">
        <v>25</v>
      </c>
      <c r="H140" s="9" t="s">
        <v>13</v>
      </c>
      <c r="I140" s="15" t="s">
        <v>1825</v>
      </c>
      <c r="J140" s="11">
        <v>25324</v>
      </c>
      <c r="K140" s="9" t="str">
        <f t="shared" ca="1" si="2"/>
        <v>57 tahun, 2 bulan</v>
      </c>
      <c r="L140" s="12" t="s">
        <v>1788</v>
      </c>
      <c r="M140" s="12" t="s">
        <v>1789</v>
      </c>
      <c r="N140" s="12"/>
      <c r="O140" s="12" t="s">
        <v>1790</v>
      </c>
    </row>
    <row r="141" spans="1:15" s="6" customFormat="1" ht="13.05" customHeight="1">
      <c r="A141" s="8">
        <v>136</v>
      </c>
      <c r="B141" s="31" t="s">
        <v>453</v>
      </c>
      <c r="C141" s="41" t="s">
        <v>2603</v>
      </c>
      <c r="D141" s="13" t="s">
        <v>2445</v>
      </c>
      <c r="E141" s="9" t="s">
        <v>47</v>
      </c>
      <c r="F141" s="9" t="s">
        <v>2397</v>
      </c>
      <c r="G141" s="9" t="s">
        <v>25</v>
      </c>
      <c r="H141" s="9" t="s">
        <v>13</v>
      </c>
      <c r="I141" s="15" t="s">
        <v>1825</v>
      </c>
      <c r="J141" s="11">
        <v>28785</v>
      </c>
      <c r="K141" s="9" t="str">
        <f t="shared" ca="1" si="2"/>
        <v>47 tahun, 9 bulan</v>
      </c>
      <c r="L141" s="12"/>
      <c r="M141" s="12"/>
      <c r="N141" s="12"/>
      <c r="O141" s="12"/>
    </row>
    <row r="142" spans="1:15" s="6" customFormat="1" ht="13.05" customHeight="1">
      <c r="A142" s="8">
        <v>137</v>
      </c>
      <c r="B142" s="36" t="s">
        <v>477</v>
      </c>
      <c r="C142" s="37" t="s">
        <v>2349</v>
      </c>
      <c r="D142" s="38" t="s">
        <v>2414</v>
      </c>
      <c r="E142" s="32" t="s">
        <v>47</v>
      </c>
      <c r="F142" s="32" t="s">
        <v>2397</v>
      </c>
      <c r="G142" s="32" t="s">
        <v>57</v>
      </c>
      <c r="H142" s="32" t="s">
        <v>13</v>
      </c>
      <c r="I142" s="33" t="s">
        <v>1842</v>
      </c>
      <c r="J142" s="39">
        <v>28931</v>
      </c>
      <c r="K142" s="32" t="str">
        <f t="shared" ca="1" si="2"/>
        <v>47 tahun, 4 bulan</v>
      </c>
      <c r="L142" s="40" t="s">
        <v>1233</v>
      </c>
      <c r="M142" s="40" t="s">
        <v>1234</v>
      </c>
      <c r="N142" s="40"/>
      <c r="O142" s="40" t="s">
        <v>1235</v>
      </c>
    </row>
    <row r="143" spans="1:15" s="6" customFormat="1" ht="13.05" customHeight="1">
      <c r="A143" s="8">
        <v>138</v>
      </c>
      <c r="B143" s="30" t="s">
        <v>575</v>
      </c>
      <c r="C143" s="10" t="s">
        <v>2415</v>
      </c>
      <c r="D143" s="13" t="s">
        <v>574</v>
      </c>
      <c r="E143" s="9" t="s">
        <v>47</v>
      </c>
      <c r="F143" s="9" t="s">
        <v>29</v>
      </c>
      <c r="G143" s="9" t="s">
        <v>25</v>
      </c>
      <c r="H143" s="9" t="s">
        <v>13</v>
      </c>
      <c r="I143" s="15" t="s">
        <v>1901</v>
      </c>
      <c r="J143" s="11">
        <v>30660</v>
      </c>
      <c r="K143" s="9" t="str">
        <f t="shared" ca="1" si="2"/>
        <v>42 tahun, 7 bulan</v>
      </c>
      <c r="L143" s="12"/>
      <c r="M143" s="12"/>
      <c r="N143" s="12"/>
      <c r="O143" s="12"/>
    </row>
    <row r="144" spans="1:15" s="6" customFormat="1" ht="13.05" customHeight="1">
      <c r="A144" s="8">
        <v>139</v>
      </c>
      <c r="B144" s="30" t="s">
        <v>603</v>
      </c>
      <c r="C144" s="10" t="s">
        <v>2199</v>
      </c>
      <c r="D144" s="13" t="s">
        <v>2580</v>
      </c>
      <c r="E144" s="9" t="s">
        <v>47</v>
      </c>
      <c r="F144" s="9" t="s">
        <v>2397</v>
      </c>
      <c r="G144" s="9" t="s">
        <v>25</v>
      </c>
      <c r="H144" s="9" t="s">
        <v>290</v>
      </c>
      <c r="I144" s="15" t="s">
        <v>1825</v>
      </c>
      <c r="J144" s="11">
        <v>31213</v>
      </c>
      <c r="K144" s="9" t="str">
        <f t="shared" ca="1" si="2"/>
        <v>41 tahun, 1 bulan</v>
      </c>
      <c r="L144" s="12" t="s">
        <v>1368</v>
      </c>
      <c r="M144" s="12" t="s">
        <v>1369</v>
      </c>
      <c r="N144" s="12"/>
      <c r="O144" s="12" t="s">
        <v>1370</v>
      </c>
    </row>
    <row r="145" spans="1:15" s="6" customFormat="1" ht="13.05" customHeight="1">
      <c r="A145" s="8">
        <v>140</v>
      </c>
      <c r="B145" s="30" t="s">
        <v>239</v>
      </c>
      <c r="C145" s="10" t="s">
        <v>2266</v>
      </c>
      <c r="D145" s="13" t="s">
        <v>1971</v>
      </c>
      <c r="E145" s="9" t="s">
        <v>240</v>
      </c>
      <c r="F145" s="9" t="s">
        <v>2397</v>
      </c>
      <c r="G145" s="9" t="s">
        <v>25</v>
      </c>
      <c r="H145" s="9" t="s">
        <v>13</v>
      </c>
      <c r="I145" s="15" t="s">
        <v>1825</v>
      </c>
      <c r="J145" s="11">
        <v>25722</v>
      </c>
      <c r="K145" s="9" t="str">
        <f t="shared" ca="1" si="2"/>
        <v>56 tahun, 1 bulan</v>
      </c>
      <c r="L145" s="12" t="s">
        <v>818</v>
      </c>
      <c r="M145" s="12" t="s">
        <v>819</v>
      </c>
      <c r="N145" s="12" t="s">
        <v>820</v>
      </c>
      <c r="O145" s="12" t="s">
        <v>821</v>
      </c>
    </row>
    <row r="146" spans="1:15" s="6" customFormat="1" ht="13.05" customHeight="1">
      <c r="A146" s="8">
        <v>141</v>
      </c>
      <c r="B146" s="30" t="s">
        <v>361</v>
      </c>
      <c r="C146" s="10" t="s">
        <v>2263</v>
      </c>
      <c r="D146" s="13" t="s">
        <v>1992</v>
      </c>
      <c r="E146" s="9" t="s">
        <v>240</v>
      </c>
      <c r="F146" s="9" t="s">
        <v>2397</v>
      </c>
      <c r="G146" s="9" t="s">
        <v>25</v>
      </c>
      <c r="H146" s="9" t="s">
        <v>15</v>
      </c>
      <c r="I146" s="15" t="s">
        <v>1872</v>
      </c>
      <c r="J146" s="11">
        <v>27653</v>
      </c>
      <c r="K146" s="9" t="str">
        <f t="shared" ca="1" si="2"/>
        <v>50 tahun, 10 bulan</v>
      </c>
      <c r="L146" s="12" t="s">
        <v>1015</v>
      </c>
      <c r="M146" s="12" t="s">
        <v>1016</v>
      </c>
      <c r="N146" s="12"/>
      <c r="O146" s="12" t="s">
        <v>1017</v>
      </c>
    </row>
    <row r="147" spans="1:15" s="6" customFormat="1" ht="13.05" customHeight="1">
      <c r="A147" s="8">
        <v>142</v>
      </c>
      <c r="B147" s="30" t="s">
        <v>422</v>
      </c>
      <c r="C147" s="10" t="s">
        <v>2264</v>
      </c>
      <c r="D147" s="13" t="s">
        <v>421</v>
      </c>
      <c r="E147" s="9" t="s">
        <v>240</v>
      </c>
      <c r="F147" s="9" t="s">
        <v>2397</v>
      </c>
      <c r="G147" s="9" t="s">
        <v>25</v>
      </c>
      <c r="H147" s="9" t="s">
        <v>13</v>
      </c>
      <c r="I147" s="15" t="s">
        <v>1838</v>
      </c>
      <c r="J147" s="11">
        <v>28447</v>
      </c>
      <c r="K147" s="9" t="str">
        <f t="shared" ca="1" si="2"/>
        <v>48 tahun, 8 bulan</v>
      </c>
      <c r="L147" s="12" t="s">
        <v>1208</v>
      </c>
      <c r="M147" s="12" t="s">
        <v>1209</v>
      </c>
      <c r="N147" s="12" t="s">
        <v>1210</v>
      </c>
      <c r="O147" s="12" t="s">
        <v>1211</v>
      </c>
    </row>
    <row r="148" spans="1:15" s="6" customFormat="1" ht="13.05" customHeight="1">
      <c r="A148" s="8">
        <v>143</v>
      </c>
      <c r="B148" s="30" t="s">
        <v>452</v>
      </c>
      <c r="C148" s="10" t="s">
        <v>2267</v>
      </c>
      <c r="D148" s="13" t="s">
        <v>451</v>
      </c>
      <c r="E148" s="9" t="s">
        <v>240</v>
      </c>
      <c r="F148" s="9" t="s">
        <v>29</v>
      </c>
      <c r="G148" s="9" t="s">
        <v>25</v>
      </c>
      <c r="H148" s="9" t="s">
        <v>13</v>
      </c>
      <c r="I148" s="15" t="s">
        <v>1874</v>
      </c>
      <c r="J148" s="11">
        <v>28772</v>
      </c>
      <c r="K148" s="9" t="str">
        <f t="shared" ca="1" si="2"/>
        <v>47 tahun, 9 bulan</v>
      </c>
      <c r="L148" s="12" t="s">
        <v>1685</v>
      </c>
      <c r="M148" s="12" t="s">
        <v>1686</v>
      </c>
      <c r="N148" s="12"/>
      <c r="O148" s="12" t="s">
        <v>1687</v>
      </c>
    </row>
    <row r="149" spans="1:15" s="6" customFormat="1" ht="13.05" customHeight="1">
      <c r="A149" s="8">
        <v>144</v>
      </c>
      <c r="B149" s="30" t="s">
        <v>538</v>
      </c>
      <c r="C149" s="10" t="s">
        <v>2095</v>
      </c>
      <c r="D149" s="13" t="s">
        <v>537</v>
      </c>
      <c r="E149" s="9" t="s">
        <v>240</v>
      </c>
      <c r="F149" s="9" t="s">
        <v>29</v>
      </c>
      <c r="G149" s="9" t="s">
        <v>25</v>
      </c>
      <c r="H149" s="9" t="s">
        <v>13</v>
      </c>
      <c r="I149" s="15" t="s">
        <v>1825</v>
      </c>
      <c r="J149" s="11">
        <v>29802</v>
      </c>
      <c r="K149" s="9" t="str">
        <f t="shared" ca="1" si="2"/>
        <v>44 tahun, 11 bulan</v>
      </c>
      <c r="L149" s="12" t="s">
        <v>1707</v>
      </c>
      <c r="M149" s="12" t="s">
        <v>1708</v>
      </c>
      <c r="N149" s="12"/>
      <c r="O149" s="12"/>
    </row>
    <row r="150" spans="1:15" s="6" customFormat="1" ht="13.05" customHeight="1">
      <c r="A150" s="8">
        <v>145</v>
      </c>
      <c r="B150" s="30" t="s">
        <v>630</v>
      </c>
      <c r="C150" s="10" t="s">
        <v>2265</v>
      </c>
      <c r="D150" s="13" t="s">
        <v>629</v>
      </c>
      <c r="E150" s="9" t="s">
        <v>240</v>
      </c>
      <c r="F150" s="9" t="s">
        <v>2397</v>
      </c>
      <c r="G150" s="9" t="s">
        <v>25</v>
      </c>
      <c r="H150" s="9" t="s">
        <v>13</v>
      </c>
      <c r="I150" s="15" t="s">
        <v>1825</v>
      </c>
      <c r="J150" s="11">
        <v>31634</v>
      </c>
      <c r="K150" s="9" t="str">
        <f t="shared" ca="1" si="2"/>
        <v>39 tahun, 11 bulan</v>
      </c>
      <c r="L150" s="12" t="s">
        <v>1302</v>
      </c>
      <c r="M150" s="12" t="s">
        <v>1303</v>
      </c>
      <c r="N150" s="12"/>
      <c r="O150" s="12" t="s">
        <v>1304</v>
      </c>
    </row>
    <row r="151" spans="1:15" s="6" customFormat="1" ht="13.05" customHeight="1">
      <c r="A151" s="8">
        <v>146</v>
      </c>
      <c r="B151" s="30" t="s">
        <v>75</v>
      </c>
      <c r="C151" s="41" t="s">
        <v>2627</v>
      </c>
      <c r="D151" s="13" t="s">
        <v>74</v>
      </c>
      <c r="E151" s="9" t="s">
        <v>54</v>
      </c>
      <c r="F151" s="9" t="s">
        <v>29</v>
      </c>
      <c r="G151" s="9" t="s">
        <v>25</v>
      </c>
      <c r="H151" s="9" t="s">
        <v>13</v>
      </c>
      <c r="I151" s="15" t="s">
        <v>1854</v>
      </c>
      <c r="J151" s="11">
        <v>22640</v>
      </c>
      <c r="K151" s="9" t="str">
        <f t="shared" ca="1" si="2"/>
        <v>64 tahun, 7 bulan</v>
      </c>
      <c r="L151" s="12" t="s">
        <v>1715</v>
      </c>
      <c r="M151" s="12" t="s">
        <v>1716</v>
      </c>
      <c r="N151" s="12"/>
      <c r="O151" s="12" t="s">
        <v>1717</v>
      </c>
    </row>
    <row r="152" spans="1:15" s="6" customFormat="1" ht="13.05" customHeight="1">
      <c r="A152" s="8">
        <v>147</v>
      </c>
      <c r="B152" s="30" t="s">
        <v>109</v>
      </c>
      <c r="C152" s="10" t="s">
        <v>2261</v>
      </c>
      <c r="D152" s="13" t="s">
        <v>108</v>
      </c>
      <c r="E152" s="9" t="s">
        <v>54</v>
      </c>
      <c r="F152" s="9" t="s">
        <v>29</v>
      </c>
      <c r="G152" s="9" t="s">
        <v>25</v>
      </c>
      <c r="H152" s="9" t="s">
        <v>13</v>
      </c>
      <c r="I152" s="15" t="s">
        <v>1857</v>
      </c>
      <c r="J152" s="11">
        <v>23193</v>
      </c>
      <c r="K152" s="9" t="str">
        <f t="shared" ca="1" si="2"/>
        <v>63 tahun, 0 bulan</v>
      </c>
      <c r="L152" s="12" t="s">
        <v>1467</v>
      </c>
      <c r="M152" s="12" t="s">
        <v>1468</v>
      </c>
      <c r="N152" s="12"/>
      <c r="O152" s="12" t="s">
        <v>1469</v>
      </c>
    </row>
    <row r="153" spans="1:15" s="6" customFormat="1" ht="13.05" customHeight="1">
      <c r="A153" s="8">
        <v>148</v>
      </c>
      <c r="B153" s="30" t="s">
        <v>181</v>
      </c>
      <c r="C153" s="10" t="s">
        <v>2259</v>
      </c>
      <c r="D153" s="13" t="s">
        <v>180</v>
      </c>
      <c r="E153" s="9" t="s">
        <v>54</v>
      </c>
      <c r="F153" s="9" t="s">
        <v>29</v>
      </c>
      <c r="G153" s="9" t="s">
        <v>25</v>
      </c>
      <c r="H153" s="9" t="s">
        <v>15</v>
      </c>
      <c r="I153" s="15" t="s">
        <v>1825</v>
      </c>
      <c r="J153" s="11">
        <v>24606</v>
      </c>
      <c r="K153" s="9" t="str">
        <f t="shared" ca="1" si="2"/>
        <v>59 tahun, 2 bulan</v>
      </c>
      <c r="L153" s="12" t="s">
        <v>1743</v>
      </c>
      <c r="M153" s="12" t="s">
        <v>1744</v>
      </c>
      <c r="N153" s="12"/>
      <c r="O153" s="12" t="s">
        <v>1745</v>
      </c>
    </row>
    <row r="154" spans="1:15" s="6" customFormat="1" ht="13.05" customHeight="1">
      <c r="A154" s="8">
        <v>149</v>
      </c>
      <c r="B154" s="30" t="s">
        <v>211</v>
      </c>
      <c r="C154" s="10" t="s">
        <v>2195</v>
      </c>
      <c r="D154" s="13" t="s">
        <v>210</v>
      </c>
      <c r="E154" s="9" t="s">
        <v>54</v>
      </c>
      <c r="F154" s="9" t="s">
        <v>29</v>
      </c>
      <c r="G154" s="9" t="s">
        <v>25</v>
      </c>
      <c r="H154" s="9" t="s">
        <v>13</v>
      </c>
      <c r="I154" s="15" t="s">
        <v>1842</v>
      </c>
      <c r="J154" s="11">
        <v>25246</v>
      </c>
      <c r="K154" s="9" t="str">
        <f t="shared" ca="1" si="2"/>
        <v>57 tahun, 5 bulan</v>
      </c>
      <c r="L154" s="12" t="s">
        <v>1750</v>
      </c>
      <c r="M154" s="12" t="s">
        <v>1751</v>
      </c>
      <c r="N154" s="12" t="s">
        <v>1752</v>
      </c>
      <c r="O154" s="12" t="s">
        <v>1753</v>
      </c>
    </row>
    <row r="155" spans="1:15" s="6" customFormat="1" ht="13.05" customHeight="1">
      <c r="A155" s="8">
        <v>150</v>
      </c>
      <c r="B155" s="31" t="s">
        <v>252</v>
      </c>
      <c r="C155" s="10" t="s">
        <v>2260</v>
      </c>
      <c r="D155" s="13" t="s">
        <v>251</v>
      </c>
      <c r="E155" s="9" t="s">
        <v>54</v>
      </c>
      <c r="F155" s="9" t="s">
        <v>29</v>
      </c>
      <c r="G155" s="9" t="s">
        <v>25</v>
      </c>
      <c r="H155" s="9" t="s">
        <v>13</v>
      </c>
      <c r="I155" s="15" t="s">
        <v>1825</v>
      </c>
      <c r="J155" s="11">
        <v>25869</v>
      </c>
      <c r="K155" s="9" t="str">
        <f t="shared" ca="1" si="2"/>
        <v>55 tahun, 9 bulan</v>
      </c>
      <c r="L155" s="12" t="s">
        <v>1757</v>
      </c>
      <c r="M155" s="12" t="s">
        <v>1758</v>
      </c>
      <c r="N155" s="12" t="s">
        <v>1759</v>
      </c>
      <c r="O155" s="12" t="s">
        <v>1760</v>
      </c>
    </row>
    <row r="156" spans="1:15" s="6" customFormat="1" ht="11.55" customHeight="1">
      <c r="A156" s="8">
        <v>151</v>
      </c>
      <c r="B156" s="30" t="s">
        <v>391</v>
      </c>
      <c r="C156" s="10" t="s">
        <v>2258</v>
      </c>
      <c r="D156" s="13" t="s">
        <v>1937</v>
      </c>
      <c r="E156" s="9" t="s">
        <v>54</v>
      </c>
      <c r="F156" s="9" t="s">
        <v>2397</v>
      </c>
      <c r="G156" s="9" t="s">
        <v>25</v>
      </c>
      <c r="H156" s="9" t="s">
        <v>13</v>
      </c>
      <c r="I156" s="15" t="s">
        <v>1825</v>
      </c>
      <c r="J156" s="11">
        <v>27937</v>
      </c>
      <c r="K156" s="9" t="str">
        <f t="shared" ca="1" si="2"/>
        <v>50 tahun, 1 bulan</v>
      </c>
      <c r="L156" s="12" t="s">
        <v>1042</v>
      </c>
      <c r="M156" s="12" t="s">
        <v>1043</v>
      </c>
      <c r="N156" s="12" t="s">
        <v>1044</v>
      </c>
      <c r="O156" s="12" t="s">
        <v>1045</v>
      </c>
    </row>
    <row r="157" spans="1:15" s="6" customFormat="1" ht="13.05" customHeight="1">
      <c r="A157" s="8">
        <v>152</v>
      </c>
      <c r="B157" s="30" t="s">
        <v>51</v>
      </c>
      <c r="C157" s="10" t="s">
        <v>2335</v>
      </c>
      <c r="D157" s="13" t="s">
        <v>50</v>
      </c>
      <c r="E157" s="9" t="s">
        <v>52</v>
      </c>
      <c r="F157" s="9" t="s">
        <v>2397</v>
      </c>
      <c r="G157" s="9" t="s">
        <v>25</v>
      </c>
      <c r="H157" s="9" t="s">
        <v>15</v>
      </c>
      <c r="I157" s="15" t="s">
        <v>1825</v>
      </c>
      <c r="J157" s="11">
        <v>21230</v>
      </c>
      <c r="K157" s="9" t="str">
        <f t="shared" ca="1" si="2"/>
        <v>68 tahun, 5 bulan</v>
      </c>
      <c r="L157" s="12" t="s">
        <v>734</v>
      </c>
      <c r="M157" s="12" t="s">
        <v>735</v>
      </c>
      <c r="N157" s="12" t="s">
        <v>736</v>
      </c>
      <c r="O157" s="12" t="s">
        <v>737</v>
      </c>
    </row>
    <row r="158" spans="1:15" s="6" customFormat="1" ht="13.05" customHeight="1">
      <c r="A158" s="8">
        <v>153</v>
      </c>
      <c r="B158" s="30" t="s">
        <v>63</v>
      </c>
      <c r="C158" s="10" t="s">
        <v>2336</v>
      </c>
      <c r="D158" s="13" t="s">
        <v>62</v>
      </c>
      <c r="E158" s="9" t="s">
        <v>52</v>
      </c>
      <c r="F158" s="9" t="s">
        <v>2397</v>
      </c>
      <c r="G158" s="9" t="s">
        <v>25</v>
      </c>
      <c r="H158" s="9" t="s">
        <v>15</v>
      </c>
      <c r="I158" s="15" t="s">
        <v>1825</v>
      </c>
      <c r="J158" s="11">
        <v>22466</v>
      </c>
      <c r="K158" s="9" t="str">
        <f t="shared" ca="1" si="2"/>
        <v>65 tahun, 0 bulan</v>
      </c>
      <c r="L158" s="12" t="s">
        <v>782</v>
      </c>
      <c r="M158" s="12" t="s">
        <v>783</v>
      </c>
      <c r="N158" s="12" t="s">
        <v>784</v>
      </c>
      <c r="O158" s="12" t="s">
        <v>785</v>
      </c>
    </row>
    <row r="159" spans="1:15" s="34" customFormat="1" ht="13.05" customHeight="1">
      <c r="A159" s="8">
        <v>154</v>
      </c>
      <c r="B159" s="36" t="s">
        <v>686</v>
      </c>
      <c r="C159" s="42" t="s">
        <v>2604</v>
      </c>
      <c r="D159" s="38" t="s">
        <v>1727</v>
      </c>
      <c r="E159" s="32" t="s">
        <v>52</v>
      </c>
      <c r="F159" s="32" t="s">
        <v>29</v>
      </c>
      <c r="G159" s="32" t="s">
        <v>25</v>
      </c>
      <c r="H159" s="32" t="s">
        <v>13</v>
      </c>
      <c r="I159" s="33" t="s">
        <v>1825</v>
      </c>
      <c r="J159" s="39">
        <v>23411</v>
      </c>
      <c r="K159" s="32" t="str">
        <f t="shared" ca="1" si="2"/>
        <v>62 tahun, 5 bulan</v>
      </c>
      <c r="L159" s="40" t="s">
        <v>1728</v>
      </c>
      <c r="M159" s="40" t="s">
        <v>1729</v>
      </c>
      <c r="N159" s="40"/>
      <c r="O159" s="40" t="s">
        <v>1730</v>
      </c>
    </row>
    <row r="160" spans="1:15" s="6" customFormat="1" ht="13.05" customHeight="1">
      <c r="A160" s="8">
        <v>155</v>
      </c>
      <c r="B160" s="30" t="s">
        <v>217</v>
      </c>
      <c r="C160" s="41" t="s">
        <v>2634</v>
      </c>
      <c r="D160" s="13" t="s">
        <v>216</v>
      </c>
      <c r="E160" s="9" t="s">
        <v>52</v>
      </c>
      <c r="F160" s="9" t="s">
        <v>2397</v>
      </c>
      <c r="G160" s="9" t="s">
        <v>25</v>
      </c>
      <c r="H160" s="9" t="s">
        <v>15</v>
      </c>
      <c r="I160" s="15" t="s">
        <v>1824</v>
      </c>
      <c r="J160" s="11">
        <v>25275</v>
      </c>
      <c r="K160" s="9" t="str">
        <f t="shared" ca="1" si="2"/>
        <v>57 tahun, 4 bulan</v>
      </c>
      <c r="L160" s="12" t="s">
        <v>926</v>
      </c>
      <c r="M160" s="12" t="s">
        <v>927</v>
      </c>
      <c r="N160" s="12" t="s">
        <v>928</v>
      </c>
      <c r="O160" s="12" t="s">
        <v>929</v>
      </c>
    </row>
    <row r="161" spans="1:15" s="6" customFormat="1" ht="13.05" customHeight="1">
      <c r="A161" s="8">
        <v>156</v>
      </c>
      <c r="B161" s="30" t="s">
        <v>466</v>
      </c>
      <c r="C161" s="10" t="s">
        <v>2225</v>
      </c>
      <c r="D161" s="13" t="s">
        <v>465</v>
      </c>
      <c r="E161" s="9" t="s">
        <v>52</v>
      </c>
      <c r="F161" s="9" t="s">
        <v>29</v>
      </c>
      <c r="G161" s="9" t="s">
        <v>25</v>
      </c>
      <c r="H161" s="9" t="s">
        <v>13</v>
      </c>
      <c r="I161" s="15" t="s">
        <v>1825</v>
      </c>
      <c r="J161" s="11">
        <v>28880</v>
      </c>
      <c r="K161" s="9" t="str">
        <f t="shared" ca="1" si="2"/>
        <v>47 tahun, 6 bulan</v>
      </c>
      <c r="L161" s="12"/>
      <c r="M161" s="12"/>
      <c r="N161" s="12"/>
      <c r="O161" s="12"/>
    </row>
    <row r="162" spans="1:15" s="6" customFormat="1" ht="13.05" customHeight="1">
      <c r="A162" s="8">
        <v>157</v>
      </c>
      <c r="B162" s="30" t="s">
        <v>548</v>
      </c>
      <c r="C162" s="10" t="s">
        <v>2198</v>
      </c>
      <c r="D162" s="13" t="s">
        <v>1967</v>
      </c>
      <c r="E162" s="9" t="s">
        <v>52</v>
      </c>
      <c r="F162" s="9" t="s">
        <v>2397</v>
      </c>
      <c r="G162" s="9" t="s">
        <v>25</v>
      </c>
      <c r="H162" s="9" t="s">
        <v>15</v>
      </c>
      <c r="I162" s="15" t="s">
        <v>1864</v>
      </c>
      <c r="J162" s="11">
        <v>30054</v>
      </c>
      <c r="K162" s="9" t="str">
        <f t="shared" ca="1" si="2"/>
        <v>44 tahun, 3 bulan</v>
      </c>
      <c r="L162" s="12" t="s">
        <v>1347</v>
      </c>
      <c r="M162" s="12" t="s">
        <v>1348</v>
      </c>
      <c r="N162" s="12"/>
      <c r="O162" s="12" t="s">
        <v>1349</v>
      </c>
    </row>
    <row r="163" spans="1:15" s="6" customFormat="1" ht="13.05" customHeight="1">
      <c r="A163" s="8">
        <v>158</v>
      </c>
      <c r="B163" s="31" t="s">
        <v>2621</v>
      </c>
      <c r="C163" s="41" t="s">
        <v>2653</v>
      </c>
      <c r="D163" s="13" t="s">
        <v>610</v>
      </c>
      <c r="E163" s="9" t="s">
        <v>52</v>
      </c>
      <c r="F163" s="9" t="s">
        <v>29</v>
      </c>
      <c r="G163" s="9" t="s">
        <v>25</v>
      </c>
      <c r="H163" s="9" t="s">
        <v>15</v>
      </c>
      <c r="I163" s="15" t="s">
        <v>1857</v>
      </c>
      <c r="J163" s="11">
        <v>31311</v>
      </c>
      <c r="K163" s="9" t="str">
        <f t="shared" ca="1" si="2"/>
        <v>40 tahun, 10 bulan</v>
      </c>
      <c r="L163" s="12"/>
      <c r="M163" s="12" t="s">
        <v>1987</v>
      </c>
      <c r="N163" s="12"/>
      <c r="O163" s="12"/>
    </row>
    <row r="164" spans="1:15" s="6" customFormat="1" ht="13.05" customHeight="1">
      <c r="A164" s="8">
        <v>159</v>
      </c>
      <c r="B164" s="36" t="s">
        <v>636</v>
      </c>
      <c r="C164" s="42" t="s">
        <v>2654</v>
      </c>
      <c r="D164" s="38" t="s">
        <v>635</v>
      </c>
      <c r="E164" s="32" t="s">
        <v>52</v>
      </c>
      <c r="F164" s="32" t="s">
        <v>2397</v>
      </c>
      <c r="G164" s="32" t="s">
        <v>1932</v>
      </c>
      <c r="H164" s="32" t="s">
        <v>15</v>
      </c>
      <c r="I164" s="33" t="s">
        <v>1825</v>
      </c>
      <c r="J164" s="39">
        <v>31712</v>
      </c>
      <c r="K164" s="32" t="str">
        <f t="shared" ca="1" si="2"/>
        <v>39 tahun, 9 bulan</v>
      </c>
      <c r="L164" s="40" t="s">
        <v>1384</v>
      </c>
      <c r="M164" s="40" t="s">
        <v>1385</v>
      </c>
      <c r="N164" s="40" t="s">
        <v>1386</v>
      </c>
      <c r="O164" s="40" t="s">
        <v>1387</v>
      </c>
    </row>
    <row r="165" spans="1:15" s="6" customFormat="1" ht="13.05" customHeight="1">
      <c r="A165" s="8">
        <v>160</v>
      </c>
      <c r="B165" s="30" t="s">
        <v>18</v>
      </c>
      <c r="C165" s="10" t="s">
        <v>2416</v>
      </c>
      <c r="D165" s="13" t="s">
        <v>17</v>
      </c>
      <c r="E165" s="9" t="s">
        <v>19</v>
      </c>
      <c r="F165" s="9" t="s">
        <v>2397</v>
      </c>
      <c r="G165" s="9" t="s">
        <v>2662</v>
      </c>
      <c r="H165" s="9" t="s">
        <v>13</v>
      </c>
      <c r="I165" s="15" t="s">
        <v>1842</v>
      </c>
      <c r="J165" s="11">
        <v>17378</v>
      </c>
      <c r="K165" s="9" t="str">
        <f t="shared" ca="1" si="2"/>
        <v>78 tahun, 11 bulan</v>
      </c>
      <c r="L165" s="12" t="s">
        <v>710</v>
      </c>
      <c r="M165" s="12" t="s">
        <v>711</v>
      </c>
      <c r="N165" s="12" t="s">
        <v>712</v>
      </c>
      <c r="O165" s="12" t="s">
        <v>713</v>
      </c>
    </row>
    <row r="166" spans="1:15" s="6" customFormat="1" ht="13.05" customHeight="1">
      <c r="A166" s="8">
        <v>161</v>
      </c>
      <c r="B166" s="31" t="s">
        <v>2661</v>
      </c>
      <c r="C166" s="10" t="s">
        <v>2380</v>
      </c>
      <c r="D166" s="13" t="s">
        <v>33</v>
      </c>
      <c r="E166" s="9" t="s">
        <v>19</v>
      </c>
      <c r="F166" s="9" t="s">
        <v>2397</v>
      </c>
      <c r="G166" s="9" t="s">
        <v>2662</v>
      </c>
      <c r="H166" s="9" t="s">
        <v>15</v>
      </c>
      <c r="I166" s="15" t="s">
        <v>1879</v>
      </c>
      <c r="J166" s="11">
        <v>20144</v>
      </c>
      <c r="K166" s="9" t="str">
        <f t="shared" ca="1" si="2"/>
        <v>71 tahun, 5 bulan</v>
      </c>
      <c r="L166" s="12" t="s">
        <v>718</v>
      </c>
      <c r="M166" s="12" t="s">
        <v>719</v>
      </c>
      <c r="N166" s="12" t="s">
        <v>720</v>
      </c>
      <c r="O166" s="12" t="s">
        <v>721</v>
      </c>
    </row>
    <row r="167" spans="1:15" s="6" customFormat="1" ht="13.05" customHeight="1">
      <c r="A167" s="8">
        <v>162</v>
      </c>
      <c r="B167" s="31" t="s">
        <v>2659</v>
      </c>
      <c r="C167" s="10" t="s">
        <v>2381</v>
      </c>
      <c r="D167" s="13" t="s">
        <v>36</v>
      </c>
      <c r="E167" s="9" t="s">
        <v>19</v>
      </c>
      <c r="F167" s="9" t="s">
        <v>2397</v>
      </c>
      <c r="G167" s="9" t="s">
        <v>2662</v>
      </c>
      <c r="H167" s="9" t="s">
        <v>13</v>
      </c>
      <c r="I167" s="15" t="s">
        <v>1825</v>
      </c>
      <c r="J167" s="11">
        <v>20312</v>
      </c>
      <c r="K167" s="9" t="str">
        <f t="shared" ca="1" si="2"/>
        <v>70 tahun, 11 bulan</v>
      </c>
      <c r="L167" s="12" t="s">
        <v>726</v>
      </c>
      <c r="M167" s="12" t="s">
        <v>727</v>
      </c>
      <c r="N167" s="12" t="s">
        <v>728</v>
      </c>
      <c r="O167" s="12" t="s">
        <v>729</v>
      </c>
    </row>
    <row r="168" spans="1:15" s="6" customFormat="1" ht="13.05" customHeight="1">
      <c r="A168" s="8">
        <v>163</v>
      </c>
      <c r="B168" s="30" t="s">
        <v>45</v>
      </c>
      <c r="C168" s="10" t="s">
        <v>2379</v>
      </c>
      <c r="D168" s="13" t="s">
        <v>44</v>
      </c>
      <c r="E168" s="9" t="s">
        <v>19</v>
      </c>
      <c r="F168" s="9" t="s">
        <v>2397</v>
      </c>
      <c r="G168" s="9" t="s">
        <v>25</v>
      </c>
      <c r="H168" s="9" t="s">
        <v>15</v>
      </c>
      <c r="I168" s="15" t="s">
        <v>1884</v>
      </c>
      <c r="J168" s="11">
        <v>21095</v>
      </c>
      <c r="K168" s="9" t="str">
        <f t="shared" ca="1" si="2"/>
        <v>68 tahun, 9 bulan</v>
      </c>
      <c r="L168" s="12" t="s">
        <v>730</v>
      </c>
      <c r="M168" s="12" t="s">
        <v>731</v>
      </c>
      <c r="N168" s="12" t="s">
        <v>732</v>
      </c>
      <c r="O168" s="12" t="s">
        <v>733</v>
      </c>
    </row>
    <row r="169" spans="1:15" s="6" customFormat="1" ht="13.05" customHeight="1">
      <c r="A169" s="8">
        <v>164</v>
      </c>
      <c r="B169" s="30" t="s">
        <v>56</v>
      </c>
      <c r="C169" s="41" t="s">
        <v>2655</v>
      </c>
      <c r="D169" s="13" t="s">
        <v>55</v>
      </c>
      <c r="E169" s="9" t="s">
        <v>19</v>
      </c>
      <c r="F169" s="9" t="s">
        <v>2397</v>
      </c>
      <c r="G169" s="9" t="s">
        <v>25</v>
      </c>
      <c r="H169" s="9" t="s">
        <v>15</v>
      </c>
      <c r="I169" s="15" t="s">
        <v>1825</v>
      </c>
      <c r="J169" s="11">
        <v>21370</v>
      </c>
      <c r="K169" s="9" t="str">
        <f t="shared" ca="1" si="2"/>
        <v>68 tahun, 0 bulan</v>
      </c>
      <c r="L169" s="12" t="s">
        <v>738</v>
      </c>
      <c r="M169" s="12" t="s">
        <v>739</v>
      </c>
      <c r="N169" s="12" t="s">
        <v>740</v>
      </c>
      <c r="O169" s="12" t="s">
        <v>741</v>
      </c>
    </row>
    <row r="170" spans="1:15" s="6" customFormat="1" ht="13.05" customHeight="1">
      <c r="A170" s="8">
        <v>165</v>
      </c>
      <c r="B170" s="30" t="s">
        <v>71</v>
      </c>
      <c r="C170" s="10" t="s">
        <v>2055</v>
      </c>
      <c r="D170" s="13" t="s">
        <v>70</v>
      </c>
      <c r="E170" s="9" t="s">
        <v>19</v>
      </c>
      <c r="F170" s="9" t="s">
        <v>2397</v>
      </c>
      <c r="G170" s="9" t="s">
        <v>25</v>
      </c>
      <c r="H170" s="9" t="s">
        <v>15</v>
      </c>
      <c r="I170" s="15" t="s">
        <v>1825</v>
      </c>
      <c r="J170" s="11">
        <v>22596</v>
      </c>
      <c r="K170" s="9" t="str">
        <f t="shared" ca="1" si="2"/>
        <v>64 tahun, 8 bulan</v>
      </c>
      <c r="L170" s="12" t="s">
        <v>745</v>
      </c>
      <c r="M170" s="12" t="s">
        <v>746</v>
      </c>
      <c r="N170" s="12"/>
      <c r="O170" s="12" t="s">
        <v>747</v>
      </c>
    </row>
    <row r="171" spans="1:15" s="6" customFormat="1" ht="13.05" customHeight="1">
      <c r="A171" s="8">
        <v>166</v>
      </c>
      <c r="B171" s="30" t="s">
        <v>80</v>
      </c>
      <c r="C171" s="41" t="s">
        <v>2607</v>
      </c>
      <c r="D171" s="13" t="s">
        <v>1982</v>
      </c>
      <c r="E171" s="9" t="s">
        <v>19</v>
      </c>
      <c r="F171" s="9" t="s">
        <v>29</v>
      </c>
      <c r="G171" s="9" t="s">
        <v>25</v>
      </c>
      <c r="H171" s="9" t="s">
        <v>13</v>
      </c>
      <c r="I171" s="15" t="s">
        <v>1925</v>
      </c>
      <c r="J171" s="11">
        <v>22786</v>
      </c>
      <c r="K171" s="9" t="str">
        <f t="shared" ca="1" si="2"/>
        <v>64 tahun, 2 bulan</v>
      </c>
      <c r="L171" s="12"/>
      <c r="M171" s="12" t="s">
        <v>1428</v>
      </c>
      <c r="N171" s="12"/>
      <c r="O171" s="12"/>
    </row>
    <row r="172" spans="1:15" s="6" customFormat="1" ht="13.05" customHeight="1">
      <c r="A172" s="8">
        <v>167</v>
      </c>
      <c r="B172" s="30" t="s">
        <v>94</v>
      </c>
      <c r="C172" s="10" t="s">
        <v>2383</v>
      </c>
      <c r="D172" s="13" t="s">
        <v>1978</v>
      </c>
      <c r="E172" s="9" t="s">
        <v>19</v>
      </c>
      <c r="F172" s="9" t="s">
        <v>29</v>
      </c>
      <c r="G172" s="9" t="s">
        <v>25</v>
      </c>
      <c r="H172" s="9" t="s">
        <v>13</v>
      </c>
      <c r="I172" s="15" t="s">
        <v>1843</v>
      </c>
      <c r="J172" s="11">
        <v>22994</v>
      </c>
      <c r="K172" s="9" t="str">
        <f t="shared" ca="1" si="2"/>
        <v>63 tahun, 7 bulan</v>
      </c>
      <c r="L172" s="12" t="s">
        <v>1452</v>
      </c>
      <c r="M172" s="12" t="s">
        <v>1453</v>
      </c>
      <c r="N172" s="12" t="s">
        <v>1454</v>
      </c>
      <c r="O172" s="12" t="s">
        <v>1455</v>
      </c>
    </row>
    <row r="173" spans="1:15" s="6" customFormat="1" ht="13.05" customHeight="1">
      <c r="A173" s="8">
        <v>168</v>
      </c>
      <c r="B173" s="30" t="s">
        <v>98</v>
      </c>
      <c r="C173" s="10" t="s">
        <v>2056</v>
      </c>
      <c r="D173" s="13" t="s">
        <v>97</v>
      </c>
      <c r="E173" s="9" t="s">
        <v>19</v>
      </c>
      <c r="F173" s="9" t="s">
        <v>2397</v>
      </c>
      <c r="G173" s="9" t="s">
        <v>25</v>
      </c>
      <c r="H173" s="9" t="s">
        <v>15</v>
      </c>
      <c r="I173" s="15" t="s">
        <v>1825</v>
      </c>
      <c r="J173" s="11">
        <v>23062</v>
      </c>
      <c r="K173" s="9" t="str">
        <f t="shared" ca="1" si="2"/>
        <v>63 tahun, 5 bulan</v>
      </c>
      <c r="L173" s="12" t="s">
        <v>756</v>
      </c>
      <c r="M173" s="12" t="s">
        <v>757</v>
      </c>
      <c r="N173" s="12" t="s">
        <v>758</v>
      </c>
      <c r="O173" s="12" t="s">
        <v>759</v>
      </c>
    </row>
    <row r="174" spans="1:15" s="6" customFormat="1" ht="13.05" customHeight="1">
      <c r="A174" s="8">
        <v>169</v>
      </c>
      <c r="B174" s="30" t="s">
        <v>689</v>
      </c>
      <c r="C174" s="10" t="s">
        <v>2054</v>
      </c>
      <c r="D174" s="13" t="s">
        <v>104</v>
      </c>
      <c r="E174" s="9" t="s">
        <v>19</v>
      </c>
      <c r="F174" s="9" t="s">
        <v>2397</v>
      </c>
      <c r="G174" s="9" t="s">
        <v>25</v>
      </c>
      <c r="H174" s="9" t="s">
        <v>13</v>
      </c>
      <c r="I174" s="15" t="s">
        <v>1825</v>
      </c>
      <c r="J174" s="11">
        <v>23150</v>
      </c>
      <c r="K174" s="9" t="str">
        <f t="shared" ca="1" si="2"/>
        <v>63 tahun, 2 bulan</v>
      </c>
      <c r="L174" s="12" t="s">
        <v>760</v>
      </c>
      <c r="M174" s="12" t="s">
        <v>761</v>
      </c>
      <c r="N174" s="12"/>
      <c r="O174" s="12" t="s">
        <v>762</v>
      </c>
    </row>
    <row r="175" spans="1:15" s="6" customFormat="1" ht="13.05" customHeight="1">
      <c r="A175" s="8">
        <v>170</v>
      </c>
      <c r="B175" s="30" t="s">
        <v>123</v>
      </c>
      <c r="C175" s="41" t="s">
        <v>2608</v>
      </c>
      <c r="D175" s="13" t="s">
        <v>2571</v>
      </c>
      <c r="E175" s="9" t="s">
        <v>19</v>
      </c>
      <c r="F175" s="9" t="s">
        <v>29</v>
      </c>
      <c r="G175" s="9" t="s">
        <v>25</v>
      </c>
      <c r="H175" s="9" t="s">
        <v>15</v>
      </c>
      <c r="I175" s="15" t="s">
        <v>1842</v>
      </c>
      <c r="J175" s="11">
        <v>23469</v>
      </c>
      <c r="K175" s="9" t="str">
        <f t="shared" ca="1" si="2"/>
        <v>62 tahun, 3 bulan</v>
      </c>
      <c r="L175" s="12"/>
      <c r="M175" s="12"/>
      <c r="N175" s="12"/>
      <c r="O175" s="12"/>
    </row>
    <row r="176" spans="1:15" s="6" customFormat="1" ht="13.05" customHeight="1">
      <c r="A176" s="8">
        <v>171</v>
      </c>
      <c r="B176" s="30" t="s">
        <v>157</v>
      </c>
      <c r="C176" s="10" t="s">
        <v>2417</v>
      </c>
      <c r="D176" s="13" t="s">
        <v>2418</v>
      </c>
      <c r="E176" s="9" t="s">
        <v>19</v>
      </c>
      <c r="F176" s="9" t="s">
        <v>29</v>
      </c>
      <c r="G176" s="9" t="s">
        <v>25</v>
      </c>
      <c r="H176" s="9" t="s">
        <v>15</v>
      </c>
      <c r="I176" s="15" t="s">
        <v>1825</v>
      </c>
      <c r="J176" s="11">
        <v>24312</v>
      </c>
      <c r="K176" s="9" t="str">
        <f t="shared" ca="1" si="2"/>
        <v>60 tahun, 0 bulan</v>
      </c>
      <c r="L176" s="12" t="s">
        <v>1429</v>
      </c>
      <c r="M176" s="12" t="s">
        <v>1430</v>
      </c>
      <c r="N176" s="12"/>
      <c r="O176" s="12"/>
    </row>
    <row r="177" spans="1:15" s="6" customFormat="1" ht="13.05" customHeight="1">
      <c r="A177" s="8">
        <v>172</v>
      </c>
      <c r="B177" s="30" t="s">
        <v>184</v>
      </c>
      <c r="C177" s="41" t="s">
        <v>2609</v>
      </c>
      <c r="D177" s="13" t="s">
        <v>2574</v>
      </c>
      <c r="E177" s="9" t="s">
        <v>19</v>
      </c>
      <c r="F177" s="9" t="s">
        <v>29</v>
      </c>
      <c r="G177" s="9" t="s">
        <v>25</v>
      </c>
      <c r="H177" s="9" t="s">
        <v>13</v>
      </c>
      <c r="I177" s="15" t="s">
        <v>1842</v>
      </c>
      <c r="J177" s="11">
        <v>24623</v>
      </c>
      <c r="K177" s="9" t="str">
        <f t="shared" ca="1" si="2"/>
        <v>59 tahun, 1 bulan</v>
      </c>
      <c r="L177" s="12"/>
      <c r="M177" s="12" t="s">
        <v>1622</v>
      </c>
      <c r="N177" s="12"/>
      <c r="O177" s="12"/>
    </row>
    <row r="178" spans="1:15" s="6" customFormat="1" ht="13.05" customHeight="1">
      <c r="A178" s="8">
        <v>173</v>
      </c>
      <c r="B178" s="30" t="s">
        <v>185</v>
      </c>
      <c r="C178" s="41" t="s">
        <v>2610</v>
      </c>
      <c r="D178" s="13" t="s">
        <v>2419</v>
      </c>
      <c r="E178" s="9" t="s">
        <v>19</v>
      </c>
      <c r="F178" s="9" t="s">
        <v>29</v>
      </c>
      <c r="G178" s="9" t="s">
        <v>25</v>
      </c>
      <c r="H178" s="9" t="s">
        <v>13</v>
      </c>
      <c r="I178" s="15" t="s">
        <v>1824</v>
      </c>
      <c r="J178" s="11">
        <v>24640</v>
      </c>
      <c r="K178" s="9" t="str">
        <f t="shared" ca="1" si="2"/>
        <v>59 tahun, 1 bulan</v>
      </c>
      <c r="L178" s="12"/>
      <c r="M178" s="12" t="s">
        <v>1431</v>
      </c>
      <c r="N178" s="12"/>
      <c r="O178" s="12"/>
    </row>
    <row r="179" spans="1:15" s="6" customFormat="1" ht="13.05" customHeight="1">
      <c r="A179" s="8">
        <v>174</v>
      </c>
      <c r="B179" s="30" t="s">
        <v>203</v>
      </c>
      <c r="C179" s="10" t="s">
        <v>2420</v>
      </c>
      <c r="D179" s="13" t="s">
        <v>202</v>
      </c>
      <c r="E179" s="9" t="s">
        <v>19</v>
      </c>
      <c r="F179" s="9" t="s">
        <v>29</v>
      </c>
      <c r="G179" s="9" t="s">
        <v>25</v>
      </c>
      <c r="H179" s="9" t="s">
        <v>13</v>
      </c>
      <c r="I179" s="15" t="s">
        <v>1882</v>
      </c>
      <c r="J179" s="11">
        <v>25120</v>
      </c>
      <c r="K179" s="9" t="str">
        <f t="shared" ca="1" si="2"/>
        <v>57 tahun, 9 bulan</v>
      </c>
      <c r="L179" s="12"/>
      <c r="M179" s="12"/>
      <c r="N179" s="12"/>
      <c r="O179" s="12"/>
    </row>
    <row r="180" spans="1:15" s="6" customFormat="1" ht="13.05" customHeight="1">
      <c r="A180" s="8">
        <v>175</v>
      </c>
      <c r="B180" s="30" t="s">
        <v>204</v>
      </c>
      <c r="C180" s="41" t="s">
        <v>2605</v>
      </c>
      <c r="D180" s="13" t="s">
        <v>1980</v>
      </c>
      <c r="E180" s="9" t="s">
        <v>19</v>
      </c>
      <c r="F180" s="9" t="s">
        <v>29</v>
      </c>
      <c r="G180" s="9" t="s">
        <v>25</v>
      </c>
      <c r="H180" s="9" t="s">
        <v>15</v>
      </c>
      <c r="I180" s="15" t="s">
        <v>1846</v>
      </c>
      <c r="J180" s="11">
        <v>25121</v>
      </c>
      <c r="K180" s="9" t="str">
        <f t="shared" ca="1" si="2"/>
        <v>57 tahun, 9 bulan</v>
      </c>
      <c r="L180" s="12"/>
      <c r="M180" s="12" t="s">
        <v>1627</v>
      </c>
      <c r="N180" s="12"/>
      <c r="O180" s="12"/>
    </row>
    <row r="181" spans="1:15" s="6" customFormat="1" ht="13.05" customHeight="1">
      <c r="A181" s="8">
        <v>176</v>
      </c>
      <c r="B181" s="30" t="s">
        <v>205</v>
      </c>
      <c r="C181" s="41" t="s">
        <v>2611</v>
      </c>
      <c r="D181" s="13" t="s">
        <v>2657</v>
      </c>
      <c r="E181" s="9" t="s">
        <v>19</v>
      </c>
      <c r="F181" s="9" t="s">
        <v>29</v>
      </c>
      <c r="G181" s="9" t="s">
        <v>25</v>
      </c>
      <c r="H181" s="9" t="s">
        <v>15</v>
      </c>
      <c r="I181" s="15" t="s">
        <v>1867</v>
      </c>
      <c r="J181" s="11">
        <v>25173</v>
      </c>
      <c r="K181" s="9" t="str">
        <f t="shared" ca="1" si="2"/>
        <v>57 tahun, 7 bulan</v>
      </c>
      <c r="L181" s="12"/>
      <c r="M181" s="12" t="s">
        <v>1628</v>
      </c>
      <c r="N181" s="12"/>
      <c r="O181" s="12"/>
    </row>
    <row r="182" spans="1:15" s="6" customFormat="1" ht="13.05" customHeight="1">
      <c r="A182" s="8">
        <v>177</v>
      </c>
      <c r="B182" s="31" t="s">
        <v>221</v>
      </c>
      <c r="C182" s="10" t="s">
        <v>2421</v>
      </c>
      <c r="D182" s="13" t="s">
        <v>220</v>
      </c>
      <c r="E182" s="9" t="s">
        <v>19</v>
      </c>
      <c r="F182" s="9" t="s">
        <v>29</v>
      </c>
      <c r="G182" s="9" t="s">
        <v>25</v>
      </c>
      <c r="H182" s="9" t="s">
        <v>13</v>
      </c>
      <c r="I182" s="15" t="s">
        <v>1824</v>
      </c>
      <c r="J182" s="11">
        <v>25317</v>
      </c>
      <c r="K182" s="9" t="str">
        <f t="shared" ca="1" si="2"/>
        <v>57 tahun, 3 bulan</v>
      </c>
      <c r="L182" s="12"/>
      <c r="M182" s="12" t="s">
        <v>1632</v>
      </c>
      <c r="N182" s="12"/>
      <c r="O182" s="12"/>
    </row>
    <row r="183" spans="1:15" s="6" customFormat="1" ht="13.05" customHeight="1">
      <c r="A183" s="8">
        <v>178</v>
      </c>
      <c r="B183" s="31" t="s">
        <v>235</v>
      </c>
      <c r="C183" s="10" t="s">
        <v>2268</v>
      </c>
      <c r="D183" s="13" t="s">
        <v>234</v>
      </c>
      <c r="E183" s="9" t="s">
        <v>19</v>
      </c>
      <c r="F183" s="9" t="s">
        <v>29</v>
      </c>
      <c r="G183" s="9" t="s">
        <v>25</v>
      </c>
      <c r="H183" s="9" t="s">
        <v>15</v>
      </c>
      <c r="I183" s="15" t="s">
        <v>1825</v>
      </c>
      <c r="J183" s="11">
        <v>25524</v>
      </c>
      <c r="K183" s="9" t="str">
        <f t="shared" ca="1" si="2"/>
        <v>56 tahun, 8 bulan</v>
      </c>
      <c r="L183" s="12" t="s">
        <v>1633</v>
      </c>
      <c r="M183" s="12" t="s">
        <v>1634</v>
      </c>
      <c r="N183" s="12"/>
      <c r="O183" s="12" t="s">
        <v>1635</v>
      </c>
    </row>
    <row r="184" spans="1:15" s="6" customFormat="1" ht="13.05" customHeight="1">
      <c r="A184" s="8">
        <v>179</v>
      </c>
      <c r="B184" s="30" t="s">
        <v>250</v>
      </c>
      <c r="C184" s="41" t="s">
        <v>2612</v>
      </c>
      <c r="D184" s="13" t="s">
        <v>249</v>
      </c>
      <c r="E184" s="9" t="s">
        <v>19</v>
      </c>
      <c r="F184" s="9" t="s">
        <v>29</v>
      </c>
      <c r="G184" s="9" t="s">
        <v>25</v>
      </c>
      <c r="H184" s="9" t="s">
        <v>15</v>
      </c>
      <c r="I184" s="15" t="s">
        <v>1825</v>
      </c>
      <c r="J184" s="11">
        <v>25930</v>
      </c>
      <c r="K184" s="9" t="str">
        <f t="shared" ca="1" si="2"/>
        <v>55 tahun, 7 bulan</v>
      </c>
      <c r="L184" s="12"/>
      <c r="M184" s="12" t="s">
        <v>1639</v>
      </c>
      <c r="N184" s="12"/>
      <c r="O184" s="12"/>
    </row>
    <row r="185" spans="1:15" s="6" customFormat="1" ht="13.05" customHeight="1">
      <c r="A185" s="8">
        <v>180</v>
      </c>
      <c r="B185" s="30" t="s">
        <v>263</v>
      </c>
      <c r="C185" s="10" t="s">
        <v>2382</v>
      </c>
      <c r="D185" s="13" t="s">
        <v>262</v>
      </c>
      <c r="E185" s="9" t="s">
        <v>19</v>
      </c>
      <c r="F185" s="9" t="s">
        <v>2397</v>
      </c>
      <c r="G185" s="9" t="s">
        <v>25</v>
      </c>
      <c r="H185" s="9" t="s">
        <v>13</v>
      </c>
      <c r="I185" s="15" t="s">
        <v>1838</v>
      </c>
      <c r="J185" s="11">
        <v>26077</v>
      </c>
      <c r="K185" s="9" t="str">
        <f t="shared" ca="1" si="2"/>
        <v>55 tahun, 2 bulan</v>
      </c>
      <c r="L185" s="12" t="s">
        <v>942</v>
      </c>
      <c r="M185" s="12" t="s">
        <v>943</v>
      </c>
      <c r="N185" s="12"/>
      <c r="O185" s="12" t="s">
        <v>944</v>
      </c>
    </row>
    <row r="186" spans="1:15" s="6" customFormat="1" ht="13.05" customHeight="1">
      <c r="A186" s="8">
        <v>181</v>
      </c>
      <c r="B186" s="30" t="s">
        <v>300</v>
      </c>
      <c r="C186" s="41" t="s">
        <v>2613</v>
      </c>
      <c r="D186" s="13" t="s">
        <v>2399</v>
      </c>
      <c r="E186" s="9" t="s">
        <v>19</v>
      </c>
      <c r="F186" s="9" t="s">
        <v>29</v>
      </c>
      <c r="G186" s="9" t="s">
        <v>25</v>
      </c>
      <c r="H186" s="9" t="s">
        <v>13</v>
      </c>
      <c r="I186" s="15" t="s">
        <v>1825</v>
      </c>
      <c r="J186" s="11">
        <v>26749</v>
      </c>
      <c r="K186" s="9" t="str">
        <f t="shared" ca="1" si="2"/>
        <v>53 tahun, 4 bulan</v>
      </c>
      <c r="L186" s="12"/>
      <c r="M186" s="12" t="s">
        <v>1649</v>
      </c>
      <c r="N186" s="12"/>
      <c r="O186" s="12"/>
    </row>
    <row r="187" spans="1:15" s="6" customFormat="1" ht="13.05" customHeight="1">
      <c r="A187" s="8">
        <v>182</v>
      </c>
      <c r="B187" s="30" t="s">
        <v>345</v>
      </c>
      <c r="C187" s="10" t="s">
        <v>2422</v>
      </c>
      <c r="D187" s="13" t="s">
        <v>2423</v>
      </c>
      <c r="E187" s="9" t="s">
        <v>19</v>
      </c>
      <c r="F187" s="9" t="s">
        <v>2397</v>
      </c>
      <c r="G187" s="9" t="s">
        <v>25</v>
      </c>
      <c r="H187" s="9" t="s">
        <v>15</v>
      </c>
      <c r="I187" s="15" t="s">
        <v>1877</v>
      </c>
      <c r="J187" s="11">
        <v>27481</v>
      </c>
      <c r="K187" s="9" t="str">
        <f t="shared" ca="1" si="2"/>
        <v>51 tahun, 4 bulan</v>
      </c>
      <c r="L187" s="12" t="s">
        <v>1005</v>
      </c>
      <c r="M187" s="12" t="s">
        <v>1006</v>
      </c>
      <c r="N187" s="12"/>
      <c r="O187" s="12" t="s">
        <v>1007</v>
      </c>
    </row>
    <row r="188" spans="1:15" s="6" customFormat="1" ht="13.05" customHeight="1">
      <c r="A188" s="8">
        <v>183</v>
      </c>
      <c r="B188" s="30" t="s">
        <v>397</v>
      </c>
      <c r="C188" s="10" t="s">
        <v>2231</v>
      </c>
      <c r="D188" s="13" t="s">
        <v>396</v>
      </c>
      <c r="E188" s="9" t="s">
        <v>19</v>
      </c>
      <c r="F188" s="9" t="s">
        <v>29</v>
      </c>
      <c r="G188" s="9" t="s">
        <v>25</v>
      </c>
      <c r="H188" s="9" t="s">
        <v>13</v>
      </c>
      <c r="I188" s="15" t="s">
        <v>1825</v>
      </c>
      <c r="J188" s="11">
        <v>28009</v>
      </c>
      <c r="K188" s="9" t="str">
        <f t="shared" ref="K188:K247" ca="1" si="3">DATEDIF(J188,$B$3,"Y")&amp;" tahun, "&amp;DATEDIF(J188,$B$3,"Ym")&amp;" bulan"</f>
        <v>49 tahun, 10 bulan</v>
      </c>
      <c r="L188" s="12"/>
      <c r="M188" s="12" t="s">
        <v>1665</v>
      </c>
      <c r="N188" s="12"/>
      <c r="O188" s="12"/>
    </row>
    <row r="189" spans="1:15" s="6" customFormat="1" ht="13.05" customHeight="1">
      <c r="A189" s="8">
        <v>184</v>
      </c>
      <c r="B189" s="30" t="s">
        <v>409</v>
      </c>
      <c r="C189" s="10" t="s">
        <v>2094</v>
      </c>
      <c r="D189" s="13" t="s">
        <v>408</v>
      </c>
      <c r="E189" s="9" t="s">
        <v>19</v>
      </c>
      <c r="F189" s="9" t="s">
        <v>29</v>
      </c>
      <c r="G189" s="9" t="s">
        <v>25</v>
      </c>
      <c r="H189" s="9" t="s">
        <v>13</v>
      </c>
      <c r="I189" s="15" t="s">
        <v>1825</v>
      </c>
      <c r="J189" s="11">
        <v>28252</v>
      </c>
      <c r="K189" s="9" t="str">
        <f t="shared" ca="1" si="3"/>
        <v>49 tahun, 2 bulan</v>
      </c>
      <c r="L189" s="12" t="s">
        <v>1794</v>
      </c>
      <c r="M189" s="12" t="s">
        <v>1795</v>
      </c>
      <c r="N189" s="12"/>
      <c r="O189" s="12" t="s">
        <v>1796</v>
      </c>
    </row>
    <row r="190" spans="1:15" s="6" customFormat="1" ht="13.05" customHeight="1">
      <c r="A190" s="8">
        <v>185</v>
      </c>
      <c r="B190" s="30" t="s">
        <v>454</v>
      </c>
      <c r="C190" s="10" t="s">
        <v>2220</v>
      </c>
      <c r="D190" s="13" t="s">
        <v>1996</v>
      </c>
      <c r="E190" s="9" t="s">
        <v>19</v>
      </c>
      <c r="F190" s="9" t="s">
        <v>2397</v>
      </c>
      <c r="G190" s="9" t="s">
        <v>25</v>
      </c>
      <c r="H190" s="9" t="s">
        <v>13</v>
      </c>
      <c r="I190" s="15" t="s">
        <v>1913</v>
      </c>
      <c r="J190" s="11">
        <v>28795</v>
      </c>
      <c r="K190" s="9" t="str">
        <f t="shared" ca="1" si="3"/>
        <v>47 tahun, 8 bulan</v>
      </c>
      <c r="L190" s="12" t="s">
        <v>1091</v>
      </c>
      <c r="M190" s="12" t="s">
        <v>1092</v>
      </c>
      <c r="N190" s="12" t="s">
        <v>1093</v>
      </c>
      <c r="O190" s="12" t="s">
        <v>1094</v>
      </c>
    </row>
    <row r="191" spans="1:15" s="6" customFormat="1" ht="13.05" customHeight="1">
      <c r="A191" s="8">
        <v>186</v>
      </c>
      <c r="B191" s="30" t="s">
        <v>485</v>
      </c>
      <c r="C191" s="10" t="s">
        <v>2191</v>
      </c>
      <c r="D191" s="13" t="s">
        <v>484</v>
      </c>
      <c r="E191" s="9" t="s">
        <v>19</v>
      </c>
      <c r="F191" s="9" t="s">
        <v>29</v>
      </c>
      <c r="G191" s="9" t="s">
        <v>25</v>
      </c>
      <c r="H191" s="9" t="s">
        <v>13</v>
      </c>
      <c r="I191" s="15" t="s">
        <v>1825</v>
      </c>
      <c r="J191" s="11">
        <v>29093</v>
      </c>
      <c r="K191" s="9" t="str">
        <f t="shared" ca="1" si="3"/>
        <v>46 tahun, 11 bulan</v>
      </c>
      <c r="L191" s="12"/>
      <c r="M191" s="12"/>
      <c r="N191" s="12"/>
      <c r="O191" s="12"/>
    </row>
    <row r="192" spans="1:15" s="6" customFormat="1" ht="13.05" customHeight="1">
      <c r="A192" s="8">
        <v>187</v>
      </c>
      <c r="B192" s="30" t="s">
        <v>488</v>
      </c>
      <c r="C192" s="41" t="s">
        <v>2614</v>
      </c>
      <c r="D192" s="13" t="s">
        <v>2575</v>
      </c>
      <c r="E192" s="9" t="s">
        <v>19</v>
      </c>
      <c r="F192" s="9" t="s">
        <v>29</v>
      </c>
      <c r="G192" s="9" t="s">
        <v>25</v>
      </c>
      <c r="H192" s="9" t="s">
        <v>13</v>
      </c>
      <c r="I192" s="15" t="s">
        <v>1825</v>
      </c>
      <c r="J192" s="11">
        <v>29146</v>
      </c>
      <c r="K192" s="9" t="str">
        <f t="shared" ca="1" si="3"/>
        <v>46 tahun, 9 bulan</v>
      </c>
      <c r="L192" s="12"/>
      <c r="M192" s="12" t="s">
        <v>1696</v>
      </c>
      <c r="N192" s="12"/>
      <c r="O192" s="12"/>
    </row>
    <row r="193" spans="1:15" s="6" customFormat="1" ht="13.05" customHeight="1">
      <c r="A193" s="8">
        <v>188</v>
      </c>
      <c r="B193" s="31" t="s">
        <v>503</v>
      </c>
      <c r="C193" s="10" t="s">
        <v>2167</v>
      </c>
      <c r="D193" s="13" t="s">
        <v>2590</v>
      </c>
      <c r="E193" s="9" t="s">
        <v>19</v>
      </c>
      <c r="F193" s="9" t="s">
        <v>2397</v>
      </c>
      <c r="G193" s="9" t="s">
        <v>25</v>
      </c>
      <c r="H193" s="9" t="s">
        <v>13</v>
      </c>
      <c r="I193" s="15" t="s">
        <v>2591</v>
      </c>
      <c r="J193" s="11">
        <v>29300</v>
      </c>
      <c r="K193" s="9" t="str">
        <f t="shared" ca="1" si="3"/>
        <v>46 tahun, 4 bulan</v>
      </c>
      <c r="L193" s="12" t="s">
        <v>1247</v>
      </c>
      <c r="M193" s="12" t="s">
        <v>1248</v>
      </c>
      <c r="N193" s="12" t="s">
        <v>1249</v>
      </c>
      <c r="O193" s="12" t="s">
        <v>1250</v>
      </c>
    </row>
    <row r="194" spans="1:15" s="6" customFormat="1" ht="13.05" customHeight="1">
      <c r="A194" s="8">
        <v>189</v>
      </c>
      <c r="B194" s="31" t="s">
        <v>510</v>
      </c>
      <c r="C194" s="10" t="s">
        <v>2424</v>
      </c>
      <c r="D194" s="13" t="s">
        <v>2658</v>
      </c>
      <c r="E194" s="9" t="s">
        <v>19</v>
      </c>
      <c r="F194" s="9" t="s">
        <v>29</v>
      </c>
      <c r="G194" s="9" t="s">
        <v>25</v>
      </c>
      <c r="H194" s="9" t="s">
        <v>15</v>
      </c>
      <c r="I194" s="15" t="s">
        <v>1825</v>
      </c>
      <c r="J194" s="11">
        <v>29408</v>
      </c>
      <c r="K194" s="9" t="str">
        <f t="shared" ca="1" si="3"/>
        <v>46 tahun, 0 bulan</v>
      </c>
      <c r="L194" s="12"/>
      <c r="M194" s="12" t="s">
        <v>1804</v>
      </c>
      <c r="N194" s="12"/>
      <c r="O194" s="12"/>
    </row>
    <row r="195" spans="1:15" s="6" customFormat="1" ht="13.05" customHeight="1">
      <c r="A195" s="8">
        <v>190</v>
      </c>
      <c r="B195" s="30" t="s">
        <v>690</v>
      </c>
      <c r="C195" s="10" t="s">
        <v>2221</v>
      </c>
      <c r="D195" s="13" t="s">
        <v>533</v>
      </c>
      <c r="E195" s="9" t="s">
        <v>19</v>
      </c>
      <c r="F195" s="9" t="s">
        <v>2397</v>
      </c>
      <c r="G195" s="9" t="s">
        <v>25</v>
      </c>
      <c r="H195" s="9" t="s">
        <v>13</v>
      </c>
      <c r="I195" s="15" t="s">
        <v>1825</v>
      </c>
      <c r="J195" s="11">
        <v>29704</v>
      </c>
      <c r="K195" s="9" t="str">
        <f t="shared" ca="1" si="3"/>
        <v>45 tahun, 3 bulan</v>
      </c>
      <c r="L195" s="12" t="s">
        <v>1136</v>
      </c>
      <c r="M195" s="12" t="s">
        <v>1137</v>
      </c>
      <c r="N195" s="12" t="s">
        <v>1138</v>
      </c>
      <c r="O195" s="12" t="s">
        <v>1139</v>
      </c>
    </row>
    <row r="196" spans="1:15" s="6" customFormat="1" ht="13.05" customHeight="1">
      <c r="A196" s="8">
        <v>191</v>
      </c>
      <c r="B196" s="31" t="s">
        <v>1933</v>
      </c>
      <c r="C196" s="41" t="s">
        <v>2344</v>
      </c>
      <c r="D196" s="13" t="s">
        <v>2001</v>
      </c>
      <c r="E196" s="9" t="s">
        <v>19</v>
      </c>
      <c r="F196" s="9" t="s">
        <v>29</v>
      </c>
      <c r="G196" s="9" t="s">
        <v>25</v>
      </c>
      <c r="H196" s="9" t="s">
        <v>13</v>
      </c>
      <c r="I196" s="15" t="s">
        <v>1916</v>
      </c>
      <c r="J196" s="11">
        <v>29803</v>
      </c>
      <c r="K196" s="9" t="str">
        <f t="shared" ca="1" si="3"/>
        <v>44 tahun, 11 bulan</v>
      </c>
      <c r="L196" s="12" t="s">
        <v>1603</v>
      </c>
      <c r="M196" s="12" t="s">
        <v>1604</v>
      </c>
      <c r="N196" s="12"/>
      <c r="O196" s="12" t="s">
        <v>1605</v>
      </c>
    </row>
    <row r="197" spans="1:15" s="6" customFormat="1" ht="13.05" customHeight="1">
      <c r="A197" s="8">
        <v>192</v>
      </c>
      <c r="B197" s="30" t="s">
        <v>691</v>
      </c>
      <c r="C197" s="10" t="s">
        <v>2158</v>
      </c>
      <c r="D197" s="13" t="s">
        <v>2003</v>
      </c>
      <c r="E197" s="9" t="s">
        <v>19</v>
      </c>
      <c r="F197" s="9" t="s">
        <v>2397</v>
      </c>
      <c r="G197" s="9" t="s">
        <v>25</v>
      </c>
      <c r="H197" s="9" t="s">
        <v>13</v>
      </c>
      <c r="I197" s="15" t="s">
        <v>1900</v>
      </c>
      <c r="J197" s="11">
        <v>30354</v>
      </c>
      <c r="K197" s="9" t="str">
        <f t="shared" ca="1" si="3"/>
        <v>43 tahun, 5 bulan</v>
      </c>
      <c r="L197" s="12" t="s">
        <v>1351</v>
      </c>
      <c r="M197" s="12" t="s">
        <v>1352</v>
      </c>
      <c r="N197" s="12" t="s">
        <v>1353</v>
      </c>
      <c r="O197" s="12" t="s">
        <v>1354</v>
      </c>
    </row>
    <row r="198" spans="1:15" s="6" customFormat="1" ht="13.05" customHeight="1">
      <c r="A198" s="8">
        <v>193</v>
      </c>
      <c r="B198" s="30" t="s">
        <v>594</v>
      </c>
      <c r="C198" s="10" t="s">
        <v>2137</v>
      </c>
      <c r="D198" s="13" t="s">
        <v>593</v>
      </c>
      <c r="E198" s="9" t="s">
        <v>19</v>
      </c>
      <c r="F198" s="9" t="s">
        <v>2397</v>
      </c>
      <c r="G198" s="9" t="s">
        <v>25</v>
      </c>
      <c r="H198" s="9" t="s">
        <v>13</v>
      </c>
      <c r="I198" s="15" t="s">
        <v>1825</v>
      </c>
      <c r="J198" s="11">
        <v>31079</v>
      </c>
      <c r="K198" s="9" t="str">
        <f t="shared" ca="1" si="3"/>
        <v>41 tahun, 5 bulan</v>
      </c>
      <c r="L198" s="12" t="s">
        <v>1362</v>
      </c>
      <c r="M198" s="12" t="s">
        <v>1363</v>
      </c>
      <c r="N198" s="12"/>
      <c r="O198" s="12" t="s">
        <v>1364</v>
      </c>
    </row>
    <row r="199" spans="1:15" s="6" customFormat="1" ht="13.05" customHeight="1">
      <c r="A199" s="8">
        <v>194</v>
      </c>
      <c r="B199" s="30" t="s">
        <v>624</v>
      </c>
      <c r="C199" s="10" t="s">
        <v>2189</v>
      </c>
      <c r="D199" s="13" t="s">
        <v>623</v>
      </c>
      <c r="E199" s="9" t="s">
        <v>19</v>
      </c>
      <c r="F199" s="9" t="s">
        <v>29</v>
      </c>
      <c r="G199" s="9"/>
      <c r="H199" s="9" t="s">
        <v>15</v>
      </c>
      <c r="I199" s="15" t="s">
        <v>1825</v>
      </c>
      <c r="J199" s="11">
        <v>31580</v>
      </c>
      <c r="K199" s="9" t="str">
        <f t="shared" ca="1" si="3"/>
        <v>40 tahun, 1 bulan</v>
      </c>
      <c r="L199" s="12"/>
      <c r="M199" s="12"/>
      <c r="N199" s="12"/>
      <c r="O199" s="12"/>
    </row>
    <row r="200" spans="1:15" s="6" customFormat="1" ht="13.05" customHeight="1">
      <c r="A200" s="8">
        <v>195</v>
      </c>
      <c r="B200" s="30" t="s">
        <v>84</v>
      </c>
      <c r="C200" s="10" t="s">
        <v>2096</v>
      </c>
      <c r="D200" s="13" t="s">
        <v>83</v>
      </c>
      <c r="E200" s="9" t="s">
        <v>58</v>
      </c>
      <c r="F200" s="9" t="s">
        <v>29</v>
      </c>
      <c r="G200" s="9" t="s">
        <v>25</v>
      </c>
      <c r="H200" s="9" t="s">
        <v>13</v>
      </c>
      <c r="I200" s="15" t="s">
        <v>1825</v>
      </c>
      <c r="J200" s="11">
        <v>22878</v>
      </c>
      <c r="K200" s="9" t="str">
        <f t="shared" ca="1" si="3"/>
        <v>63 tahun, 11 bulan</v>
      </c>
      <c r="L200" s="12" t="s">
        <v>1721</v>
      </c>
      <c r="M200" s="12" t="s">
        <v>1722</v>
      </c>
      <c r="N200" s="12"/>
      <c r="O200" s="12" t="s">
        <v>1723</v>
      </c>
    </row>
    <row r="201" spans="1:15" s="6" customFormat="1" ht="13.05" customHeight="1">
      <c r="A201" s="8">
        <v>196</v>
      </c>
      <c r="B201" s="30" t="s">
        <v>103</v>
      </c>
      <c r="C201" s="10" t="s">
        <v>2292</v>
      </c>
      <c r="D201" s="13" t="s">
        <v>102</v>
      </c>
      <c r="E201" s="9" t="s">
        <v>14</v>
      </c>
      <c r="F201" s="9" t="s">
        <v>29</v>
      </c>
      <c r="G201" s="9" t="s">
        <v>25</v>
      </c>
      <c r="H201" s="9" t="s">
        <v>13</v>
      </c>
      <c r="I201" s="15" t="s">
        <v>1854</v>
      </c>
      <c r="J201" s="11">
        <v>23117</v>
      </c>
      <c r="K201" s="9" t="str">
        <f t="shared" ca="1" si="3"/>
        <v>63 tahun, 3 bulan</v>
      </c>
      <c r="L201" s="12" t="s">
        <v>1464</v>
      </c>
      <c r="M201" s="12" t="s">
        <v>1465</v>
      </c>
      <c r="N201" s="12"/>
      <c r="O201" s="12" t="s">
        <v>1466</v>
      </c>
    </row>
    <row r="202" spans="1:15" s="6" customFormat="1" ht="13.05" customHeight="1">
      <c r="A202" s="8">
        <v>197</v>
      </c>
      <c r="B202" s="30" t="s">
        <v>112</v>
      </c>
      <c r="C202" s="10" t="s">
        <v>2084</v>
      </c>
      <c r="D202" s="13" t="s">
        <v>111</v>
      </c>
      <c r="E202" s="9" t="s">
        <v>14</v>
      </c>
      <c r="F202" s="9" t="s">
        <v>2397</v>
      </c>
      <c r="G202" s="9" t="s">
        <v>25</v>
      </c>
      <c r="H202" s="9" t="s">
        <v>15</v>
      </c>
      <c r="I202" s="15" t="s">
        <v>1872</v>
      </c>
      <c r="J202" s="11">
        <v>23303</v>
      </c>
      <c r="K202" s="9" t="str">
        <f t="shared" ca="1" si="3"/>
        <v>62 tahun, 9 bulan</v>
      </c>
      <c r="L202" s="12" t="s">
        <v>763</v>
      </c>
      <c r="M202" s="12" t="s">
        <v>764</v>
      </c>
      <c r="N202" s="12"/>
      <c r="O202" s="12" t="s">
        <v>765</v>
      </c>
    </row>
    <row r="203" spans="1:15" s="6" customFormat="1" ht="13.05" customHeight="1">
      <c r="A203" s="8">
        <v>198</v>
      </c>
      <c r="B203" s="30" t="s">
        <v>228</v>
      </c>
      <c r="C203" s="10" t="s">
        <v>2325</v>
      </c>
      <c r="D203" s="13" t="s">
        <v>1972</v>
      </c>
      <c r="E203" s="9" t="s">
        <v>14</v>
      </c>
      <c r="F203" s="9" t="s">
        <v>29</v>
      </c>
      <c r="G203" s="9" t="s">
        <v>25</v>
      </c>
      <c r="H203" s="9" t="s">
        <v>15</v>
      </c>
      <c r="I203" s="15" t="s">
        <v>1824</v>
      </c>
      <c r="J203" s="11">
        <v>25461</v>
      </c>
      <c r="K203" s="9" t="str">
        <f t="shared" ca="1" si="3"/>
        <v>56 tahun, 10 bulan</v>
      </c>
      <c r="L203" s="12" t="s">
        <v>1533</v>
      </c>
      <c r="M203" s="12" t="s">
        <v>1534</v>
      </c>
      <c r="N203" s="12"/>
      <c r="O203" s="12" t="s">
        <v>1535</v>
      </c>
    </row>
    <row r="204" spans="1:15" s="6" customFormat="1" ht="13.05" customHeight="1">
      <c r="A204" s="8">
        <v>199</v>
      </c>
      <c r="B204" s="30" t="s">
        <v>700</v>
      </c>
      <c r="C204" s="10" t="s">
        <v>2193</v>
      </c>
      <c r="D204" s="13" t="s">
        <v>2570</v>
      </c>
      <c r="E204" s="9" t="s">
        <v>14</v>
      </c>
      <c r="F204" s="9" t="s">
        <v>29</v>
      </c>
      <c r="G204" s="9" t="s">
        <v>25</v>
      </c>
      <c r="H204" s="9" t="s">
        <v>13</v>
      </c>
      <c r="I204" s="15" t="s">
        <v>1825</v>
      </c>
      <c r="J204" s="11">
        <v>26827</v>
      </c>
      <c r="K204" s="9" t="str">
        <f t="shared" ca="1" si="3"/>
        <v>53 tahun, 1 bulan</v>
      </c>
      <c r="L204" s="12"/>
      <c r="M204" s="12"/>
      <c r="N204" s="12"/>
      <c r="O204" s="12"/>
    </row>
    <row r="205" spans="1:15" s="6" customFormat="1" ht="13.05" customHeight="1">
      <c r="A205" s="8">
        <v>200</v>
      </c>
      <c r="B205" s="30" t="s">
        <v>311</v>
      </c>
      <c r="C205" s="10" t="s">
        <v>2293</v>
      </c>
      <c r="D205" s="13" t="s">
        <v>1983</v>
      </c>
      <c r="E205" s="9" t="s">
        <v>14</v>
      </c>
      <c r="F205" s="9" t="s">
        <v>2397</v>
      </c>
      <c r="G205" s="9" t="s">
        <v>25</v>
      </c>
      <c r="H205" s="9" t="s">
        <v>13</v>
      </c>
      <c r="I205" s="15" t="s">
        <v>1825</v>
      </c>
      <c r="J205" s="11">
        <v>27035</v>
      </c>
      <c r="K205" s="9" t="str">
        <f t="shared" ca="1" si="3"/>
        <v>52 tahun, 6 bulan</v>
      </c>
      <c r="L205" s="12" t="s">
        <v>709</v>
      </c>
      <c r="M205" s="12" t="s">
        <v>976</v>
      </c>
      <c r="N205" s="12" t="s">
        <v>977</v>
      </c>
      <c r="O205" s="12" t="s">
        <v>978</v>
      </c>
    </row>
    <row r="206" spans="1:15" s="6" customFormat="1" ht="13.05" customHeight="1">
      <c r="A206" s="8">
        <v>201</v>
      </c>
      <c r="B206" s="30" t="s">
        <v>319</v>
      </c>
      <c r="C206" s="10" t="s">
        <v>2291</v>
      </c>
      <c r="D206" s="13" t="s">
        <v>2425</v>
      </c>
      <c r="E206" s="9" t="s">
        <v>14</v>
      </c>
      <c r="F206" s="9" t="s">
        <v>2397</v>
      </c>
      <c r="G206" s="9" t="s">
        <v>25</v>
      </c>
      <c r="H206" s="9" t="s">
        <v>13</v>
      </c>
      <c r="I206" s="15" t="s">
        <v>1825</v>
      </c>
      <c r="J206" s="11">
        <v>27123</v>
      </c>
      <c r="K206" s="9" t="str">
        <f t="shared" ca="1" si="3"/>
        <v>52 tahun, 3 bulan</v>
      </c>
      <c r="L206" s="12" t="s">
        <v>772</v>
      </c>
      <c r="M206" s="12" t="s">
        <v>852</v>
      </c>
      <c r="N206" s="12" t="s">
        <v>774</v>
      </c>
      <c r="O206" s="12" t="s">
        <v>853</v>
      </c>
    </row>
    <row r="207" spans="1:15" s="6" customFormat="1" ht="13.05" customHeight="1">
      <c r="A207" s="8">
        <v>202</v>
      </c>
      <c r="B207" s="30" t="s">
        <v>448</v>
      </c>
      <c r="C207" s="10" t="s">
        <v>2294</v>
      </c>
      <c r="D207" s="13" t="s">
        <v>1998</v>
      </c>
      <c r="E207" s="9" t="s">
        <v>14</v>
      </c>
      <c r="F207" s="9" t="s">
        <v>29</v>
      </c>
      <c r="G207" s="9" t="s">
        <v>25</v>
      </c>
      <c r="H207" s="9" t="s">
        <v>13</v>
      </c>
      <c r="I207" s="15" t="s">
        <v>1825</v>
      </c>
      <c r="J207" s="11">
        <v>28754</v>
      </c>
      <c r="K207" s="9" t="str">
        <f t="shared" ca="1" si="3"/>
        <v>47 tahun, 10 bulan</v>
      </c>
      <c r="L207" s="12" t="s">
        <v>1801</v>
      </c>
      <c r="M207" s="12" t="s">
        <v>1802</v>
      </c>
      <c r="N207" s="12"/>
      <c r="O207" s="12"/>
    </row>
    <row r="208" spans="1:15" s="6" customFormat="1" ht="13.05" customHeight="1">
      <c r="A208" s="8">
        <v>203</v>
      </c>
      <c r="B208" s="30" t="s">
        <v>563</v>
      </c>
      <c r="C208" s="10" t="s">
        <v>2326</v>
      </c>
      <c r="D208" s="13" t="s">
        <v>1969</v>
      </c>
      <c r="E208" s="9" t="s">
        <v>14</v>
      </c>
      <c r="F208" s="9" t="s">
        <v>2397</v>
      </c>
      <c r="G208" s="9" t="s">
        <v>25</v>
      </c>
      <c r="H208" s="9" t="s">
        <v>13</v>
      </c>
      <c r="I208" s="15" t="s">
        <v>1824</v>
      </c>
      <c r="J208" s="11">
        <v>30418</v>
      </c>
      <c r="K208" s="9" t="str">
        <f t="shared" ca="1" si="3"/>
        <v>43 tahun, 3 bulan</v>
      </c>
      <c r="L208" s="12" t="s">
        <v>1158</v>
      </c>
      <c r="M208" s="12" t="s">
        <v>1159</v>
      </c>
      <c r="N208" s="12"/>
      <c r="O208" s="12" t="s">
        <v>1160</v>
      </c>
    </row>
    <row r="209" spans="1:15" s="6" customFormat="1" ht="13.05" customHeight="1">
      <c r="A209" s="8">
        <v>204</v>
      </c>
      <c r="B209" s="30" t="s">
        <v>564</v>
      </c>
      <c r="C209" s="10" t="s">
        <v>2152</v>
      </c>
      <c r="D209" s="13" t="s">
        <v>1985</v>
      </c>
      <c r="E209" s="9" t="s">
        <v>14</v>
      </c>
      <c r="F209" s="9" t="s">
        <v>2397</v>
      </c>
      <c r="G209" s="9" t="s">
        <v>25</v>
      </c>
      <c r="H209" s="9" t="s">
        <v>290</v>
      </c>
      <c r="I209" s="15" t="s">
        <v>1825</v>
      </c>
      <c r="J209" s="11">
        <v>30489</v>
      </c>
      <c r="K209" s="9" t="str">
        <f t="shared" ca="1" si="3"/>
        <v>43 tahun, 1 bulan</v>
      </c>
      <c r="L209" s="12" t="s">
        <v>1161</v>
      </c>
      <c r="M209" s="12" t="s">
        <v>1162</v>
      </c>
      <c r="N209" s="12" t="s">
        <v>1163</v>
      </c>
      <c r="O209" s="12" t="s">
        <v>1164</v>
      </c>
    </row>
    <row r="210" spans="1:15" s="6" customFormat="1" ht="13.05" customHeight="1">
      <c r="A210" s="8">
        <v>205</v>
      </c>
      <c r="B210" s="30" t="s">
        <v>573</v>
      </c>
      <c r="C210" s="41" t="s">
        <v>2099</v>
      </c>
      <c r="D210" s="13" t="s">
        <v>572</v>
      </c>
      <c r="E210" s="9" t="s">
        <v>14</v>
      </c>
      <c r="F210" s="9" t="s">
        <v>29</v>
      </c>
      <c r="G210" s="9" t="s">
        <v>25</v>
      </c>
      <c r="H210" s="9" t="s">
        <v>13</v>
      </c>
      <c r="I210" s="15" t="s">
        <v>1824</v>
      </c>
      <c r="J210" s="11">
        <v>30655</v>
      </c>
      <c r="K210" s="9" t="str">
        <f t="shared" ca="1" si="3"/>
        <v>42 tahun, 7 bulan</v>
      </c>
      <c r="L210" s="12"/>
      <c r="M210" s="12"/>
      <c r="N210" s="12"/>
      <c r="O210" s="12"/>
    </row>
    <row r="211" spans="1:15" s="6" customFormat="1" ht="13.05" customHeight="1">
      <c r="A211" s="8">
        <v>206</v>
      </c>
      <c r="B211" s="30" t="s">
        <v>642</v>
      </c>
      <c r="C211" s="10" t="s">
        <v>2205</v>
      </c>
      <c r="D211" s="13" t="s">
        <v>641</v>
      </c>
      <c r="E211" s="9" t="s">
        <v>14</v>
      </c>
      <c r="F211" s="9" t="s">
        <v>2397</v>
      </c>
      <c r="G211" s="9" t="s">
        <v>25</v>
      </c>
      <c r="H211" s="9" t="s">
        <v>15</v>
      </c>
      <c r="I211" s="15" t="s">
        <v>1825</v>
      </c>
      <c r="J211" s="11">
        <v>31860</v>
      </c>
      <c r="K211" s="9" t="str">
        <f t="shared" ca="1" si="3"/>
        <v>39 tahun, 4 bulan</v>
      </c>
      <c r="L211" s="12" t="s">
        <v>1388</v>
      </c>
      <c r="M211" s="12" t="s">
        <v>1389</v>
      </c>
      <c r="N211" s="12" t="s">
        <v>1390</v>
      </c>
      <c r="O211" s="12"/>
    </row>
    <row r="212" spans="1:15" s="6" customFormat="1" ht="13.05" customHeight="1">
      <c r="A212" s="8">
        <v>207</v>
      </c>
      <c r="B212" s="31" t="s">
        <v>2581</v>
      </c>
      <c r="C212" s="10" t="s">
        <v>2069</v>
      </c>
      <c r="D212" s="13" t="s">
        <v>1976</v>
      </c>
      <c r="E212" s="9" t="s">
        <v>24</v>
      </c>
      <c r="F212" s="9" t="s">
        <v>2397</v>
      </c>
      <c r="G212" s="9" t="s">
        <v>25</v>
      </c>
      <c r="H212" s="9" t="s">
        <v>15</v>
      </c>
      <c r="I212" s="15" t="s">
        <v>2037</v>
      </c>
      <c r="J212" s="11">
        <v>22309</v>
      </c>
      <c r="K212" s="9" t="str">
        <f t="shared" ca="1" si="3"/>
        <v>65 tahun, 6 bulan</v>
      </c>
      <c r="L212" s="12" t="s">
        <v>899</v>
      </c>
      <c r="M212" s="12" t="s">
        <v>900</v>
      </c>
      <c r="N212" s="12" t="s">
        <v>901</v>
      </c>
      <c r="O212" s="12" t="s">
        <v>902</v>
      </c>
    </row>
    <row r="213" spans="1:15" s="6" customFormat="1" ht="13.05" customHeight="1">
      <c r="A213" s="8">
        <v>208</v>
      </c>
      <c r="B213" s="30" t="s">
        <v>61</v>
      </c>
      <c r="C213" s="10" t="s">
        <v>2068</v>
      </c>
      <c r="D213" s="13" t="s">
        <v>1965</v>
      </c>
      <c r="E213" s="9" t="s">
        <v>24</v>
      </c>
      <c r="F213" s="9" t="s">
        <v>2397</v>
      </c>
      <c r="G213" s="9" t="s">
        <v>25</v>
      </c>
      <c r="H213" s="9" t="s">
        <v>13</v>
      </c>
      <c r="I213" s="15" t="s">
        <v>1880</v>
      </c>
      <c r="J213" s="11">
        <v>22332</v>
      </c>
      <c r="K213" s="9" t="str">
        <f t="shared" ca="1" si="3"/>
        <v>65 tahun, 5 bulan</v>
      </c>
      <c r="L213" s="12" t="s">
        <v>779</v>
      </c>
      <c r="M213" s="12" t="s">
        <v>780</v>
      </c>
      <c r="N213" s="12"/>
      <c r="O213" s="12" t="s">
        <v>781</v>
      </c>
    </row>
    <row r="214" spans="1:15" s="6" customFormat="1" ht="13.05" customHeight="1">
      <c r="A214" s="8">
        <v>209</v>
      </c>
      <c r="B214" s="30" t="s">
        <v>67</v>
      </c>
      <c r="C214" s="10" t="s">
        <v>2362</v>
      </c>
      <c r="D214" s="13" t="s">
        <v>66</v>
      </c>
      <c r="E214" s="9" t="s">
        <v>24</v>
      </c>
      <c r="F214" s="9" t="s">
        <v>2397</v>
      </c>
      <c r="G214" s="9" t="s">
        <v>25</v>
      </c>
      <c r="H214" s="9" t="s">
        <v>13</v>
      </c>
      <c r="I214" s="15" t="s">
        <v>1825</v>
      </c>
      <c r="J214" s="11">
        <v>22505</v>
      </c>
      <c r="K214" s="9" t="str">
        <f t="shared" ca="1" si="3"/>
        <v>64 tahun, 11 bulan</v>
      </c>
      <c r="L214" s="12" t="s">
        <v>786</v>
      </c>
      <c r="M214" s="12" t="s">
        <v>787</v>
      </c>
      <c r="N214" s="12" t="s">
        <v>788</v>
      </c>
      <c r="O214" s="12" t="s">
        <v>789</v>
      </c>
    </row>
    <row r="215" spans="1:15" s="6" customFormat="1" ht="13.05" customHeight="1">
      <c r="A215" s="8">
        <v>210</v>
      </c>
      <c r="B215" s="30" t="s">
        <v>122</v>
      </c>
      <c r="C215" s="10" t="s">
        <v>2162</v>
      </c>
      <c r="D215" s="13" t="s">
        <v>121</v>
      </c>
      <c r="E215" s="9" t="s">
        <v>24</v>
      </c>
      <c r="F215" s="9" t="s">
        <v>2397</v>
      </c>
      <c r="G215" s="9" t="s">
        <v>25</v>
      </c>
      <c r="H215" s="9" t="s">
        <v>13</v>
      </c>
      <c r="I215" s="15" t="s">
        <v>1825</v>
      </c>
      <c r="J215" s="11">
        <v>23421</v>
      </c>
      <c r="K215" s="9" t="str">
        <f t="shared" ca="1" si="3"/>
        <v>62 tahun, 5 bulan</v>
      </c>
      <c r="L215" s="12" t="s">
        <v>903</v>
      </c>
      <c r="M215" s="12" t="s">
        <v>904</v>
      </c>
      <c r="N215" s="12" t="s">
        <v>905</v>
      </c>
      <c r="O215" s="12" t="s">
        <v>906</v>
      </c>
    </row>
    <row r="216" spans="1:15" s="6" customFormat="1" ht="13.05" customHeight="1">
      <c r="A216" s="8">
        <v>211</v>
      </c>
      <c r="B216" s="30" t="s">
        <v>692</v>
      </c>
      <c r="C216" s="10" t="s">
        <v>2112</v>
      </c>
      <c r="D216" s="13" t="s">
        <v>158</v>
      </c>
      <c r="E216" s="9" t="s">
        <v>24</v>
      </c>
      <c r="F216" s="9" t="s">
        <v>2397</v>
      </c>
      <c r="G216" s="9" t="s">
        <v>25</v>
      </c>
      <c r="H216" s="9" t="s">
        <v>13</v>
      </c>
      <c r="I216" s="15" t="s">
        <v>1825</v>
      </c>
      <c r="J216" s="11">
        <v>24319</v>
      </c>
      <c r="K216" s="9" t="str">
        <f t="shared" ca="1" si="3"/>
        <v>59 tahun, 11 bulan</v>
      </c>
      <c r="L216" s="12" t="s">
        <v>911</v>
      </c>
      <c r="M216" s="12" t="s">
        <v>912</v>
      </c>
      <c r="N216" s="12" t="s">
        <v>913</v>
      </c>
      <c r="O216" s="12" t="s">
        <v>914</v>
      </c>
    </row>
    <row r="217" spans="1:15" s="6" customFormat="1" ht="13.05" customHeight="1">
      <c r="A217" s="8">
        <v>212</v>
      </c>
      <c r="B217" s="30" t="s">
        <v>159</v>
      </c>
      <c r="C217" s="10" t="s">
        <v>2165</v>
      </c>
      <c r="D217" s="13" t="s">
        <v>2577</v>
      </c>
      <c r="E217" s="9" t="s">
        <v>24</v>
      </c>
      <c r="F217" s="9" t="s">
        <v>2397</v>
      </c>
      <c r="G217" s="9" t="s">
        <v>25</v>
      </c>
      <c r="H217" s="9" t="s">
        <v>13</v>
      </c>
      <c r="I217" s="15" t="s">
        <v>1830</v>
      </c>
      <c r="J217" s="11">
        <v>24325</v>
      </c>
      <c r="K217" s="9" t="str">
        <f t="shared" ca="1" si="3"/>
        <v>59 tahun, 11 bulan</v>
      </c>
      <c r="L217" s="12" t="s">
        <v>1192</v>
      </c>
      <c r="M217" s="12" t="s">
        <v>1193</v>
      </c>
      <c r="N217" s="12" t="s">
        <v>1194</v>
      </c>
      <c r="O217" s="12" t="s">
        <v>1195</v>
      </c>
    </row>
    <row r="218" spans="1:15" s="6" customFormat="1" ht="13.05" customHeight="1">
      <c r="A218" s="8">
        <v>213</v>
      </c>
      <c r="B218" s="30" t="s">
        <v>175</v>
      </c>
      <c r="C218" s="10" t="s">
        <v>2129</v>
      </c>
      <c r="D218" s="13" t="s">
        <v>2426</v>
      </c>
      <c r="E218" s="9" t="s">
        <v>24</v>
      </c>
      <c r="F218" s="9" t="s">
        <v>2397</v>
      </c>
      <c r="G218" s="9" t="s">
        <v>25</v>
      </c>
      <c r="H218" s="9" t="s">
        <v>13</v>
      </c>
      <c r="I218" s="15" t="s">
        <v>1825</v>
      </c>
      <c r="J218" s="11">
        <v>24437</v>
      </c>
      <c r="K218" s="9" t="str">
        <f t="shared" ca="1" si="3"/>
        <v>59 tahun, 8 bulan</v>
      </c>
      <c r="L218" s="12" t="s">
        <v>915</v>
      </c>
      <c r="M218" s="12" t="s">
        <v>916</v>
      </c>
      <c r="N218" s="12" t="s">
        <v>917</v>
      </c>
      <c r="O218" s="12" t="s">
        <v>918</v>
      </c>
    </row>
    <row r="219" spans="1:15" s="6" customFormat="1" ht="13.05" customHeight="1">
      <c r="A219" s="8">
        <v>214</v>
      </c>
      <c r="B219" s="30" t="s">
        <v>209</v>
      </c>
      <c r="C219" s="10" t="s">
        <v>2082</v>
      </c>
      <c r="D219" s="13" t="s">
        <v>208</v>
      </c>
      <c r="E219" s="9" t="s">
        <v>24</v>
      </c>
      <c r="F219" s="9" t="s">
        <v>2397</v>
      </c>
      <c r="G219" s="9" t="s">
        <v>25</v>
      </c>
      <c r="H219" s="9" t="s">
        <v>13</v>
      </c>
      <c r="I219" s="15" t="s">
        <v>1825</v>
      </c>
      <c r="J219" s="11">
        <v>25229</v>
      </c>
      <c r="K219" s="9" t="str">
        <f t="shared" ca="1" si="3"/>
        <v>57 tahun, 6 bulan</v>
      </c>
      <c r="L219" s="12" t="s">
        <v>922</v>
      </c>
      <c r="M219" s="12" t="s">
        <v>923</v>
      </c>
      <c r="N219" s="12" t="s">
        <v>924</v>
      </c>
      <c r="O219" s="12" t="s">
        <v>925</v>
      </c>
    </row>
    <row r="220" spans="1:15" s="6" customFormat="1" ht="13.05" customHeight="1">
      <c r="A220" s="8">
        <v>215</v>
      </c>
      <c r="B220" s="30" t="s">
        <v>693</v>
      </c>
      <c r="C220" s="10" t="s">
        <v>2364</v>
      </c>
      <c r="D220" s="13" t="s">
        <v>937</v>
      </c>
      <c r="E220" s="9" t="s">
        <v>24</v>
      </c>
      <c r="F220" s="9" t="s">
        <v>2397</v>
      </c>
      <c r="G220" s="9" t="s">
        <v>25</v>
      </c>
      <c r="H220" s="9" t="s">
        <v>15</v>
      </c>
      <c r="I220" s="15" t="s">
        <v>1844</v>
      </c>
      <c r="J220" s="11">
        <v>26040</v>
      </c>
      <c r="K220" s="9" t="str">
        <f t="shared" ca="1" si="3"/>
        <v>55 tahun, 3 bulan</v>
      </c>
      <c r="L220" s="12" t="s">
        <v>938</v>
      </c>
      <c r="M220" s="12" t="s">
        <v>939</v>
      </c>
      <c r="N220" s="12" t="s">
        <v>940</v>
      </c>
      <c r="O220" s="12" t="s">
        <v>941</v>
      </c>
    </row>
    <row r="221" spans="1:15" s="6" customFormat="1" ht="13.05" customHeight="1">
      <c r="A221" s="8">
        <v>216</v>
      </c>
      <c r="B221" s="30" t="s">
        <v>307</v>
      </c>
      <c r="C221" s="10" t="s">
        <v>2071</v>
      </c>
      <c r="D221" s="13" t="s">
        <v>306</v>
      </c>
      <c r="E221" s="9" t="s">
        <v>24</v>
      </c>
      <c r="F221" s="9" t="s">
        <v>2397</v>
      </c>
      <c r="G221" s="9" t="s">
        <v>25</v>
      </c>
      <c r="H221" s="9" t="s">
        <v>15</v>
      </c>
      <c r="I221" s="15" t="s">
        <v>1825</v>
      </c>
      <c r="J221" s="11">
        <v>26898</v>
      </c>
      <c r="K221" s="9" t="str">
        <f t="shared" ca="1" si="3"/>
        <v>52 tahun, 11 bulan</v>
      </c>
      <c r="L221" s="12" t="s">
        <v>968</v>
      </c>
      <c r="M221" s="12" t="s">
        <v>969</v>
      </c>
      <c r="N221" s="12" t="s">
        <v>970</v>
      </c>
      <c r="O221" s="12" t="s">
        <v>971</v>
      </c>
    </row>
    <row r="222" spans="1:15" s="6" customFormat="1" ht="13.05" customHeight="1">
      <c r="A222" s="8">
        <v>217</v>
      </c>
      <c r="B222" s="30" t="s">
        <v>309</v>
      </c>
      <c r="C222" s="10" t="s">
        <v>2143</v>
      </c>
      <c r="D222" s="13" t="s">
        <v>308</v>
      </c>
      <c r="E222" s="9" t="s">
        <v>24</v>
      </c>
      <c r="F222" s="9" t="s">
        <v>2397</v>
      </c>
      <c r="G222" s="9" t="s">
        <v>25</v>
      </c>
      <c r="H222" s="9" t="s">
        <v>13</v>
      </c>
      <c r="I222" s="15" t="s">
        <v>1825</v>
      </c>
      <c r="J222" s="11">
        <v>26942</v>
      </c>
      <c r="K222" s="9" t="str">
        <f t="shared" ca="1" si="3"/>
        <v>52 tahun, 9 bulan</v>
      </c>
      <c r="L222" s="12" t="s">
        <v>972</v>
      </c>
      <c r="M222" s="12" t="s">
        <v>973</v>
      </c>
      <c r="N222" s="12" t="s">
        <v>974</v>
      </c>
      <c r="O222" s="12" t="s">
        <v>975</v>
      </c>
    </row>
    <row r="223" spans="1:15" s="6" customFormat="1" ht="13.05" customHeight="1">
      <c r="A223" s="8">
        <v>218</v>
      </c>
      <c r="B223" s="30" t="s">
        <v>323</v>
      </c>
      <c r="C223" s="10" t="s">
        <v>2085</v>
      </c>
      <c r="D223" s="13" t="s">
        <v>322</v>
      </c>
      <c r="E223" s="9" t="s">
        <v>24</v>
      </c>
      <c r="F223" s="9" t="s">
        <v>2397</v>
      </c>
      <c r="G223" s="9" t="s">
        <v>25</v>
      </c>
      <c r="H223" s="9" t="s">
        <v>13</v>
      </c>
      <c r="I223" s="15" t="s">
        <v>1867</v>
      </c>
      <c r="J223" s="11">
        <v>27208</v>
      </c>
      <c r="K223" s="9" t="str">
        <f t="shared" ca="1" si="3"/>
        <v>52 tahun, 1 bulan</v>
      </c>
      <c r="L223" s="12" t="s">
        <v>987</v>
      </c>
      <c r="M223" s="12" t="s">
        <v>988</v>
      </c>
      <c r="N223" s="12"/>
      <c r="O223" s="12"/>
    </row>
    <row r="224" spans="1:15" s="6" customFormat="1" ht="13.05" customHeight="1">
      <c r="A224" s="8">
        <v>219</v>
      </c>
      <c r="B224" s="30" t="s">
        <v>694</v>
      </c>
      <c r="C224" s="10" t="s">
        <v>2078</v>
      </c>
      <c r="D224" s="13" t="s">
        <v>1977</v>
      </c>
      <c r="E224" s="9" t="s">
        <v>24</v>
      </c>
      <c r="F224" s="9" t="s">
        <v>2397</v>
      </c>
      <c r="G224" s="9" t="s">
        <v>25</v>
      </c>
      <c r="H224" s="9" t="s">
        <v>15</v>
      </c>
      <c r="I224" s="15" t="s">
        <v>1825</v>
      </c>
      <c r="J224" s="11">
        <v>27243</v>
      </c>
      <c r="K224" s="9" t="str">
        <f t="shared" ca="1" si="3"/>
        <v>51 tahun, 11 bulan</v>
      </c>
      <c r="L224" s="12" t="s">
        <v>989</v>
      </c>
      <c r="M224" s="12" t="s">
        <v>990</v>
      </c>
      <c r="N224" s="12" t="s">
        <v>991</v>
      </c>
      <c r="O224" s="12" t="s">
        <v>992</v>
      </c>
    </row>
    <row r="225" spans="1:15" s="6" customFormat="1" ht="13.05" customHeight="1">
      <c r="A225" s="8">
        <v>220</v>
      </c>
      <c r="B225" s="30" t="s">
        <v>372</v>
      </c>
      <c r="C225" s="10" t="s">
        <v>2086</v>
      </c>
      <c r="D225" s="13" t="s">
        <v>371</v>
      </c>
      <c r="E225" s="9" t="s">
        <v>24</v>
      </c>
      <c r="F225" s="9" t="s">
        <v>2397</v>
      </c>
      <c r="G225" s="9" t="s">
        <v>25</v>
      </c>
      <c r="H225" s="9" t="s">
        <v>13</v>
      </c>
      <c r="I225" s="15" t="s">
        <v>1825</v>
      </c>
      <c r="J225" s="11">
        <v>27753</v>
      </c>
      <c r="K225" s="9" t="str">
        <f t="shared" ca="1" si="3"/>
        <v>50 tahun, 7 bulan</v>
      </c>
      <c r="L225" s="12" t="s">
        <v>1025</v>
      </c>
      <c r="M225" s="12" t="s">
        <v>1026</v>
      </c>
      <c r="N225" s="12"/>
      <c r="O225" s="12" t="s">
        <v>1027</v>
      </c>
    </row>
    <row r="226" spans="1:15" s="6" customFormat="1" ht="13.05" customHeight="1">
      <c r="A226" s="8">
        <v>221</v>
      </c>
      <c r="B226" s="30" t="s">
        <v>388</v>
      </c>
      <c r="C226" s="10" t="s">
        <v>2080</v>
      </c>
      <c r="D226" s="13" t="s">
        <v>1999</v>
      </c>
      <c r="E226" s="9" t="s">
        <v>24</v>
      </c>
      <c r="F226" s="9" t="s">
        <v>2397</v>
      </c>
      <c r="G226" s="9" t="s">
        <v>25</v>
      </c>
      <c r="H226" s="9" t="s">
        <v>13</v>
      </c>
      <c r="I226" s="15" t="s">
        <v>1825</v>
      </c>
      <c r="J226" s="11">
        <v>27901</v>
      </c>
      <c r="K226" s="9" t="str">
        <f t="shared" ca="1" si="3"/>
        <v>50 tahun, 2 bulan</v>
      </c>
      <c r="L226" s="12" t="s">
        <v>1038</v>
      </c>
      <c r="M226" s="12" t="s">
        <v>1039</v>
      </c>
      <c r="N226" s="12" t="s">
        <v>1040</v>
      </c>
      <c r="O226" s="12" t="s">
        <v>1041</v>
      </c>
    </row>
    <row r="227" spans="1:15" s="6" customFormat="1" ht="13.05" customHeight="1">
      <c r="A227" s="8">
        <v>222</v>
      </c>
      <c r="B227" s="30" t="s">
        <v>393</v>
      </c>
      <c r="C227" s="10" t="s">
        <v>2111</v>
      </c>
      <c r="D227" s="13" t="s">
        <v>2031</v>
      </c>
      <c r="E227" s="9" t="s">
        <v>24</v>
      </c>
      <c r="F227" s="9" t="s">
        <v>2397</v>
      </c>
      <c r="G227" s="9" t="s">
        <v>25</v>
      </c>
      <c r="H227" s="9" t="s">
        <v>13</v>
      </c>
      <c r="I227" s="15" t="s">
        <v>1845</v>
      </c>
      <c r="J227" s="11">
        <v>27979</v>
      </c>
      <c r="K227" s="9" t="str">
        <f t="shared" ca="1" si="3"/>
        <v>49 tahun, 11 bulan</v>
      </c>
      <c r="L227" s="12" t="s">
        <v>1205</v>
      </c>
      <c r="M227" s="12" t="s">
        <v>1206</v>
      </c>
      <c r="N227" s="12"/>
      <c r="O227" s="12" t="s">
        <v>1207</v>
      </c>
    </row>
    <row r="228" spans="1:15" s="6" customFormat="1" ht="13.05" customHeight="1">
      <c r="A228" s="8">
        <v>223</v>
      </c>
      <c r="B228" s="36" t="s">
        <v>402</v>
      </c>
      <c r="C228" s="37" t="s">
        <v>2161</v>
      </c>
      <c r="D228" s="38" t="s">
        <v>401</v>
      </c>
      <c r="E228" s="32" t="s">
        <v>24</v>
      </c>
      <c r="F228" s="32" t="s">
        <v>2397</v>
      </c>
      <c r="G228" s="32" t="s">
        <v>25</v>
      </c>
      <c r="H228" s="32" t="s">
        <v>13</v>
      </c>
      <c r="I228" s="33" t="s">
        <v>1855</v>
      </c>
      <c r="J228" s="39">
        <v>28116</v>
      </c>
      <c r="K228" s="32" t="str">
        <f t="shared" ca="1" si="3"/>
        <v>49 tahun, 7 bulan</v>
      </c>
      <c r="L228" s="40" t="s">
        <v>1050</v>
      </c>
      <c r="M228" s="40" t="s">
        <v>1051</v>
      </c>
      <c r="N228" s="40" t="s">
        <v>1052</v>
      </c>
      <c r="O228" s="40" t="s">
        <v>1053</v>
      </c>
    </row>
    <row r="229" spans="1:15" s="6" customFormat="1" ht="13.05" customHeight="1">
      <c r="A229" s="8">
        <v>224</v>
      </c>
      <c r="B229" s="30" t="s">
        <v>427</v>
      </c>
      <c r="C229" s="10" t="s">
        <v>2363</v>
      </c>
      <c r="D229" s="13" t="s">
        <v>1958</v>
      </c>
      <c r="E229" s="9" t="s">
        <v>24</v>
      </c>
      <c r="F229" s="9" t="s">
        <v>2397</v>
      </c>
      <c r="G229" s="9" t="s">
        <v>25</v>
      </c>
      <c r="H229" s="9" t="s">
        <v>13</v>
      </c>
      <c r="I229" s="15" t="s">
        <v>1825</v>
      </c>
      <c r="J229" s="11">
        <v>28473</v>
      </c>
      <c r="K229" s="9" t="str">
        <f t="shared" ca="1" si="3"/>
        <v>48 tahun, 7 bulan</v>
      </c>
      <c r="L229" s="12" t="s">
        <v>1212</v>
      </c>
      <c r="M229" s="12" t="s">
        <v>1213</v>
      </c>
      <c r="N229" s="12" t="s">
        <v>1214</v>
      </c>
      <c r="O229" s="12" t="s">
        <v>1215</v>
      </c>
    </row>
    <row r="230" spans="1:15" s="6" customFormat="1" ht="13.05" customHeight="1">
      <c r="A230" s="8">
        <v>225</v>
      </c>
      <c r="B230" s="30" t="s">
        <v>429</v>
      </c>
      <c r="C230" s="10" t="s">
        <v>2072</v>
      </c>
      <c r="D230" s="13" t="s">
        <v>428</v>
      </c>
      <c r="E230" s="9" t="s">
        <v>24</v>
      </c>
      <c r="F230" s="9" t="s">
        <v>2397</v>
      </c>
      <c r="G230" s="9" t="s">
        <v>25</v>
      </c>
      <c r="H230" s="9" t="s">
        <v>13</v>
      </c>
      <c r="I230" s="15" t="s">
        <v>1909</v>
      </c>
      <c r="J230" s="11">
        <v>28499</v>
      </c>
      <c r="K230" s="9" t="str">
        <f t="shared" ca="1" si="3"/>
        <v>48 tahun, 6 bulan</v>
      </c>
      <c r="L230" s="12" t="s">
        <v>866</v>
      </c>
      <c r="M230" s="12" t="s">
        <v>867</v>
      </c>
      <c r="N230" s="12"/>
      <c r="O230" s="12" t="s">
        <v>868</v>
      </c>
    </row>
    <row r="231" spans="1:15" s="6" customFormat="1" ht="13.05" customHeight="1">
      <c r="A231" s="8">
        <v>226</v>
      </c>
      <c r="B231" s="30" t="s">
        <v>457</v>
      </c>
      <c r="C231" s="10" t="s">
        <v>2138</v>
      </c>
      <c r="D231" s="13" t="s">
        <v>1994</v>
      </c>
      <c r="E231" s="9" t="s">
        <v>24</v>
      </c>
      <c r="F231" s="9" t="s">
        <v>2397</v>
      </c>
      <c r="G231" s="9" t="s">
        <v>25</v>
      </c>
      <c r="H231" s="9" t="s">
        <v>13</v>
      </c>
      <c r="I231" s="15" t="s">
        <v>1825</v>
      </c>
      <c r="J231" s="11">
        <v>28835</v>
      </c>
      <c r="K231" s="9" t="str">
        <f t="shared" ca="1" si="3"/>
        <v>47 tahun, 7 bulan</v>
      </c>
      <c r="L231" s="12" t="s">
        <v>1222</v>
      </c>
      <c r="M231" s="12" t="s">
        <v>1223</v>
      </c>
      <c r="N231" s="12" t="s">
        <v>1224</v>
      </c>
      <c r="O231" s="12" t="s">
        <v>1225</v>
      </c>
    </row>
    <row r="232" spans="1:15" s="6" customFormat="1" ht="13.05" customHeight="1">
      <c r="A232" s="8">
        <v>227</v>
      </c>
      <c r="B232" s="30" t="s">
        <v>464</v>
      </c>
      <c r="C232" s="10" t="s">
        <v>2074</v>
      </c>
      <c r="D232" s="13" t="s">
        <v>2427</v>
      </c>
      <c r="E232" s="9" t="s">
        <v>24</v>
      </c>
      <c r="F232" s="9" t="s">
        <v>2397</v>
      </c>
      <c r="G232" s="9" t="s">
        <v>25</v>
      </c>
      <c r="H232" s="9" t="s">
        <v>13</v>
      </c>
      <c r="I232" s="15" t="s">
        <v>1825</v>
      </c>
      <c r="J232" s="11">
        <v>28876</v>
      </c>
      <c r="K232" s="9" t="str">
        <f t="shared" ca="1" si="3"/>
        <v>47 tahun, 6 bulan</v>
      </c>
      <c r="L232" s="12" t="s">
        <v>1099</v>
      </c>
      <c r="M232" s="12" t="s">
        <v>1100</v>
      </c>
      <c r="N232" s="12" t="s">
        <v>1101</v>
      </c>
      <c r="O232" s="12" t="s">
        <v>1102</v>
      </c>
    </row>
    <row r="233" spans="1:15" s="6" customFormat="1" ht="13.05" customHeight="1">
      <c r="A233" s="8">
        <v>228</v>
      </c>
      <c r="B233" s="30" t="s">
        <v>470</v>
      </c>
      <c r="C233" s="10" t="s">
        <v>2070</v>
      </c>
      <c r="D233" s="13" t="s">
        <v>469</v>
      </c>
      <c r="E233" s="9" t="s">
        <v>24</v>
      </c>
      <c r="F233" s="9" t="s">
        <v>2397</v>
      </c>
      <c r="G233" s="9" t="s">
        <v>25</v>
      </c>
      <c r="H233" s="9" t="s">
        <v>15</v>
      </c>
      <c r="I233" s="15" t="s">
        <v>1867</v>
      </c>
      <c r="J233" s="11">
        <v>28893</v>
      </c>
      <c r="K233" s="9" t="str">
        <f t="shared" ca="1" si="3"/>
        <v>47 tahun, 5 bulan</v>
      </c>
      <c r="L233" s="12" t="s">
        <v>1106</v>
      </c>
      <c r="M233" s="12" t="s">
        <v>1107</v>
      </c>
      <c r="N233" s="12" t="s">
        <v>1108</v>
      </c>
      <c r="O233" s="12" t="s">
        <v>1109</v>
      </c>
    </row>
    <row r="234" spans="1:15" s="6" customFormat="1" ht="13.05" customHeight="1">
      <c r="A234" s="8">
        <v>229</v>
      </c>
      <c r="B234" s="30" t="s">
        <v>478</v>
      </c>
      <c r="C234" s="10" t="s">
        <v>2079</v>
      </c>
      <c r="D234" s="13" t="s">
        <v>1236</v>
      </c>
      <c r="E234" s="9" t="s">
        <v>24</v>
      </c>
      <c r="F234" s="9" t="s">
        <v>2397</v>
      </c>
      <c r="G234" s="9" t="s">
        <v>25</v>
      </c>
      <c r="H234" s="9" t="s">
        <v>13</v>
      </c>
      <c r="I234" s="15" t="s">
        <v>1825</v>
      </c>
      <c r="J234" s="11">
        <v>28963</v>
      </c>
      <c r="K234" s="9" t="str">
        <f t="shared" ca="1" si="3"/>
        <v>47 tahun, 3 bulan</v>
      </c>
      <c r="L234" s="12" t="s">
        <v>1237</v>
      </c>
      <c r="M234" s="12" t="s">
        <v>1238</v>
      </c>
      <c r="N234" s="12" t="s">
        <v>1239</v>
      </c>
      <c r="O234" s="12" t="s">
        <v>1240</v>
      </c>
    </row>
    <row r="235" spans="1:15" s="6" customFormat="1" ht="13.05" customHeight="1">
      <c r="A235" s="8">
        <v>230</v>
      </c>
      <c r="B235" s="30" t="s">
        <v>479</v>
      </c>
      <c r="C235" s="41" t="s">
        <v>2615</v>
      </c>
      <c r="D235" s="13" t="s">
        <v>1975</v>
      </c>
      <c r="E235" s="9" t="s">
        <v>24</v>
      </c>
      <c r="F235" s="9" t="s">
        <v>2397</v>
      </c>
      <c r="G235" s="9" t="s">
        <v>57</v>
      </c>
      <c r="H235" s="9" t="s">
        <v>15</v>
      </c>
      <c r="I235" s="15" t="s">
        <v>1825</v>
      </c>
      <c r="J235" s="11">
        <v>28967</v>
      </c>
      <c r="K235" s="9" t="str">
        <f t="shared" ca="1" si="3"/>
        <v>47 tahun, 3 bulan</v>
      </c>
      <c r="L235" s="12" t="s">
        <v>1333</v>
      </c>
      <c r="M235" s="12" t="s">
        <v>1334</v>
      </c>
      <c r="N235" s="12" t="s">
        <v>1335</v>
      </c>
      <c r="O235" s="12" t="s">
        <v>1336</v>
      </c>
    </row>
    <row r="236" spans="1:15" s="6" customFormat="1" ht="13.05" customHeight="1">
      <c r="A236" s="8">
        <v>231</v>
      </c>
      <c r="B236" s="30" t="s">
        <v>486</v>
      </c>
      <c r="C236" s="10" t="s">
        <v>2164</v>
      </c>
      <c r="D236" s="13" t="s">
        <v>2578</v>
      </c>
      <c r="E236" s="9" t="s">
        <v>24</v>
      </c>
      <c r="F236" s="9" t="s">
        <v>2397</v>
      </c>
      <c r="G236" s="9" t="s">
        <v>25</v>
      </c>
      <c r="H236" s="9" t="s">
        <v>13</v>
      </c>
      <c r="I236" s="15" t="s">
        <v>1825</v>
      </c>
      <c r="J236" s="11">
        <v>29129</v>
      </c>
      <c r="K236" s="9" t="str">
        <f t="shared" ca="1" si="3"/>
        <v>46 tahun, 9 bulan</v>
      </c>
      <c r="L236" s="12" t="s">
        <v>1337</v>
      </c>
      <c r="M236" s="12" t="s">
        <v>1338</v>
      </c>
      <c r="N236" s="12" t="s">
        <v>1339</v>
      </c>
      <c r="O236" s="12" t="s">
        <v>1340</v>
      </c>
    </row>
    <row r="237" spans="1:15" s="6" customFormat="1" ht="13.05" customHeight="1">
      <c r="A237" s="8">
        <v>232</v>
      </c>
      <c r="B237" s="30" t="s">
        <v>516</v>
      </c>
      <c r="C237" s="10" t="s">
        <v>2120</v>
      </c>
      <c r="D237" s="13" t="s">
        <v>515</v>
      </c>
      <c r="E237" s="9" t="s">
        <v>24</v>
      </c>
      <c r="F237" s="9" t="s">
        <v>2397</v>
      </c>
      <c r="G237" s="9" t="s">
        <v>25</v>
      </c>
      <c r="H237" s="9" t="s">
        <v>15</v>
      </c>
      <c r="I237" s="15" t="s">
        <v>1825</v>
      </c>
      <c r="J237" s="11">
        <v>29457</v>
      </c>
      <c r="K237" s="9" t="str">
        <f t="shared" ca="1" si="3"/>
        <v>45 tahun, 11 bulan</v>
      </c>
      <c r="L237" s="12" t="s">
        <v>1254</v>
      </c>
      <c r="M237" s="12" t="s">
        <v>1255</v>
      </c>
      <c r="N237" s="12" t="s">
        <v>1256</v>
      </c>
      <c r="O237" s="12" t="s">
        <v>1257</v>
      </c>
    </row>
    <row r="238" spans="1:15" s="6" customFormat="1" ht="13.05" customHeight="1">
      <c r="A238" s="8">
        <v>233</v>
      </c>
      <c r="B238" s="30" t="s">
        <v>521</v>
      </c>
      <c r="C238" s="10" t="s">
        <v>2367</v>
      </c>
      <c r="D238" s="13" t="s">
        <v>520</v>
      </c>
      <c r="E238" s="9" t="s">
        <v>24</v>
      </c>
      <c r="F238" s="9" t="s">
        <v>2397</v>
      </c>
      <c r="G238" s="9" t="s">
        <v>25</v>
      </c>
      <c r="H238" s="9" t="s">
        <v>13</v>
      </c>
      <c r="I238" s="15" t="s">
        <v>1825</v>
      </c>
      <c r="J238" s="11">
        <v>29544</v>
      </c>
      <c r="K238" s="9" t="str">
        <f t="shared" ca="1" si="3"/>
        <v>45 tahun, 8 bulan</v>
      </c>
      <c r="L238" s="12" t="s">
        <v>1344</v>
      </c>
      <c r="M238" s="12" t="s">
        <v>1345</v>
      </c>
      <c r="N238" s="12"/>
      <c r="O238" s="12" t="s">
        <v>1346</v>
      </c>
    </row>
    <row r="239" spans="1:15" s="6" customFormat="1" ht="13.05" customHeight="1">
      <c r="A239" s="8">
        <v>234</v>
      </c>
      <c r="B239" s="30" t="s">
        <v>534</v>
      </c>
      <c r="C239" s="10" t="s">
        <v>2075</v>
      </c>
      <c r="D239" s="13" t="s">
        <v>2428</v>
      </c>
      <c r="E239" s="9" t="s">
        <v>24</v>
      </c>
      <c r="F239" s="9" t="s">
        <v>2397</v>
      </c>
      <c r="G239" s="9"/>
      <c r="H239" s="9" t="s">
        <v>13</v>
      </c>
      <c r="I239" s="15" t="s">
        <v>1919</v>
      </c>
      <c r="J239" s="11">
        <v>29711</v>
      </c>
      <c r="K239" s="9" t="str">
        <f t="shared" ca="1" si="3"/>
        <v>45 tahun, 2 bulan</v>
      </c>
      <c r="L239" s="12"/>
      <c r="M239" s="12"/>
      <c r="N239" s="12"/>
      <c r="O239" s="12"/>
    </row>
    <row r="240" spans="1:15" s="6" customFormat="1" ht="13.05" customHeight="1">
      <c r="A240" s="8">
        <v>235</v>
      </c>
      <c r="B240" s="30" t="s">
        <v>1850</v>
      </c>
      <c r="C240" s="10" t="s">
        <v>2127</v>
      </c>
      <c r="D240" s="13" t="s">
        <v>681</v>
      </c>
      <c r="E240" s="9" t="s">
        <v>24</v>
      </c>
      <c r="F240" s="9" t="s">
        <v>2397</v>
      </c>
      <c r="G240" s="9" t="s">
        <v>25</v>
      </c>
      <c r="H240" s="9" t="s">
        <v>13</v>
      </c>
      <c r="I240" s="15" t="s">
        <v>1825</v>
      </c>
      <c r="J240" s="11">
        <v>29885</v>
      </c>
      <c r="K240" s="9" t="str">
        <f t="shared" ca="1" si="3"/>
        <v>44 tahun, 9 bulan</v>
      </c>
      <c r="L240" s="12" t="s">
        <v>1418</v>
      </c>
      <c r="M240" s="12" t="s">
        <v>1419</v>
      </c>
      <c r="N240" s="12"/>
      <c r="O240" s="12"/>
    </row>
    <row r="241" spans="1:15" s="6" customFormat="1" ht="13.05" customHeight="1">
      <c r="A241" s="8">
        <v>236</v>
      </c>
      <c r="B241" s="30" t="s">
        <v>585</v>
      </c>
      <c r="C241" s="10" t="s">
        <v>2132</v>
      </c>
      <c r="D241" s="13" t="s">
        <v>584</v>
      </c>
      <c r="E241" s="9" t="s">
        <v>24</v>
      </c>
      <c r="F241" s="9" t="s">
        <v>2397</v>
      </c>
      <c r="G241" s="9" t="s">
        <v>25</v>
      </c>
      <c r="H241" s="9" t="s">
        <v>290</v>
      </c>
      <c r="I241" s="15" t="s">
        <v>1825</v>
      </c>
      <c r="J241" s="11">
        <v>30971</v>
      </c>
      <c r="K241" s="9" t="str">
        <f t="shared" ca="1" si="3"/>
        <v>41 tahun, 9 bulan</v>
      </c>
      <c r="L241" s="12" t="s">
        <v>1285</v>
      </c>
      <c r="M241" s="12" t="s">
        <v>1286</v>
      </c>
      <c r="N241" s="12" t="s">
        <v>1287</v>
      </c>
      <c r="O241" s="12" t="s">
        <v>1288</v>
      </c>
    </row>
    <row r="242" spans="1:15" s="6" customFormat="1" ht="13.05" customHeight="1">
      <c r="A242" s="8">
        <v>237</v>
      </c>
      <c r="B242" s="30" t="s">
        <v>695</v>
      </c>
      <c r="C242" s="10" t="s">
        <v>2146</v>
      </c>
      <c r="D242" s="13" t="s">
        <v>1961</v>
      </c>
      <c r="E242" s="9" t="s">
        <v>24</v>
      </c>
      <c r="F242" s="9" t="s">
        <v>2397</v>
      </c>
      <c r="G242" s="9" t="s">
        <v>25</v>
      </c>
      <c r="H242" s="9" t="s">
        <v>290</v>
      </c>
      <c r="I242" s="15" t="s">
        <v>1844</v>
      </c>
      <c r="J242" s="11">
        <v>31116</v>
      </c>
      <c r="K242" s="9" t="str">
        <f t="shared" ca="1" si="3"/>
        <v>41 tahun, 4 bulan</v>
      </c>
      <c r="L242" s="12" t="s">
        <v>1291</v>
      </c>
      <c r="M242" s="12" t="s">
        <v>1292</v>
      </c>
      <c r="N242" s="12" t="s">
        <v>1293</v>
      </c>
      <c r="O242" s="12" t="s">
        <v>1294</v>
      </c>
    </row>
    <row r="243" spans="1:15" s="6" customFormat="1" ht="13.05" customHeight="1">
      <c r="A243" s="8">
        <v>238</v>
      </c>
      <c r="B243" s="30" t="s">
        <v>600</v>
      </c>
      <c r="C243" s="10" t="s">
        <v>2121</v>
      </c>
      <c r="D243" s="13" t="s">
        <v>599</v>
      </c>
      <c r="E243" s="9" t="s">
        <v>24</v>
      </c>
      <c r="F243" s="9" t="s">
        <v>2397</v>
      </c>
      <c r="G243" s="9" t="s">
        <v>25</v>
      </c>
      <c r="H243" s="9" t="s">
        <v>290</v>
      </c>
      <c r="I243" s="15" t="s">
        <v>1824</v>
      </c>
      <c r="J243" s="11">
        <v>31158</v>
      </c>
      <c r="K243" s="9" t="str">
        <f t="shared" ca="1" si="3"/>
        <v>41 tahun, 3 bulan</v>
      </c>
      <c r="L243" s="12" t="s">
        <v>1365</v>
      </c>
      <c r="M243" s="12" t="s">
        <v>1366</v>
      </c>
      <c r="N243" s="12"/>
      <c r="O243" s="12" t="s">
        <v>1367</v>
      </c>
    </row>
    <row r="244" spans="1:15" s="6" customFormat="1" ht="13.05" customHeight="1">
      <c r="A244" s="8">
        <v>239</v>
      </c>
      <c r="B244" s="30" t="s">
        <v>622</v>
      </c>
      <c r="C244" s="10" t="s">
        <v>2087</v>
      </c>
      <c r="D244" s="13" t="s">
        <v>621</v>
      </c>
      <c r="E244" s="9" t="s">
        <v>24</v>
      </c>
      <c r="F244" s="9" t="s">
        <v>2397</v>
      </c>
      <c r="G244" s="9" t="s">
        <v>25</v>
      </c>
      <c r="H244" s="9" t="s">
        <v>13</v>
      </c>
      <c r="I244" s="15" t="s">
        <v>1824</v>
      </c>
      <c r="J244" s="11">
        <v>31534</v>
      </c>
      <c r="K244" s="9" t="str">
        <f t="shared" ca="1" si="3"/>
        <v>40 tahun, 2 bulan</v>
      </c>
      <c r="L244" s="12" t="s">
        <v>1377</v>
      </c>
      <c r="M244" s="12" t="s">
        <v>1378</v>
      </c>
      <c r="N244" s="12"/>
      <c r="O244" s="12" t="s">
        <v>1379</v>
      </c>
    </row>
    <row r="245" spans="1:15" s="6" customFormat="1" ht="13.05" customHeight="1">
      <c r="A245" s="8">
        <v>240</v>
      </c>
      <c r="B245" s="31" t="s">
        <v>644</v>
      </c>
      <c r="C245" s="10" t="s">
        <v>2081</v>
      </c>
      <c r="D245" s="13" t="s">
        <v>643</v>
      </c>
      <c r="E245" s="9" t="s">
        <v>24</v>
      </c>
      <c r="F245" s="9" t="s">
        <v>2397</v>
      </c>
      <c r="G245" s="9" t="s">
        <v>25</v>
      </c>
      <c r="H245" s="9" t="s">
        <v>290</v>
      </c>
      <c r="I245" s="15" t="s">
        <v>1825</v>
      </c>
      <c r="J245" s="11">
        <v>31863</v>
      </c>
      <c r="K245" s="9" t="str">
        <f t="shared" ca="1" si="3"/>
        <v>39 tahun, 4 bulan</v>
      </c>
      <c r="L245" s="12" t="s">
        <v>1185</v>
      </c>
      <c r="M245" s="12" t="s">
        <v>1186</v>
      </c>
      <c r="N245" s="12" t="s">
        <v>1187</v>
      </c>
      <c r="O245" s="12" t="s">
        <v>1188</v>
      </c>
    </row>
    <row r="246" spans="1:15" s="6" customFormat="1" ht="13.05" customHeight="1">
      <c r="A246" s="8">
        <v>241</v>
      </c>
      <c r="B246" s="30" t="s">
        <v>658</v>
      </c>
      <c r="C246" s="10" t="s">
        <v>2211</v>
      </c>
      <c r="D246" s="13" t="s">
        <v>657</v>
      </c>
      <c r="E246" s="9" t="s">
        <v>24</v>
      </c>
      <c r="F246" s="9" t="s">
        <v>2397</v>
      </c>
      <c r="G246" s="9" t="s">
        <v>25</v>
      </c>
      <c r="H246" s="9" t="s">
        <v>13</v>
      </c>
      <c r="I246" s="15" t="s">
        <v>1915</v>
      </c>
      <c r="J246" s="11">
        <v>32422</v>
      </c>
      <c r="K246" s="9" t="str">
        <f t="shared" ca="1" si="3"/>
        <v>37 tahun, 9 bulan</v>
      </c>
      <c r="L246" s="12" t="s">
        <v>1315</v>
      </c>
      <c r="M246" s="12" t="s">
        <v>1316</v>
      </c>
      <c r="N246" s="12"/>
      <c r="O246" s="12" t="s">
        <v>1317</v>
      </c>
    </row>
    <row r="247" spans="1:15" s="6" customFormat="1" ht="13.05" customHeight="1">
      <c r="A247" s="8">
        <v>242</v>
      </c>
      <c r="B247" s="30" t="s">
        <v>660</v>
      </c>
      <c r="C247" s="10" t="s">
        <v>2103</v>
      </c>
      <c r="D247" s="13" t="s">
        <v>659</v>
      </c>
      <c r="E247" s="9" t="s">
        <v>24</v>
      </c>
      <c r="F247" s="9" t="s">
        <v>2397</v>
      </c>
      <c r="G247" s="9" t="s">
        <v>25</v>
      </c>
      <c r="H247" s="9" t="s">
        <v>290</v>
      </c>
      <c r="I247" s="15" t="s">
        <v>1825</v>
      </c>
      <c r="J247" s="11">
        <v>32603</v>
      </c>
      <c r="K247" s="9" t="str">
        <f t="shared" ca="1" si="3"/>
        <v>37 tahun, 3 bulan</v>
      </c>
      <c r="L247" s="12" t="s">
        <v>1318</v>
      </c>
      <c r="M247" s="12" t="s">
        <v>1319</v>
      </c>
      <c r="N247" s="12"/>
      <c r="O247" s="12" t="s">
        <v>1320</v>
      </c>
    </row>
    <row r="248" spans="1:15" s="6" customFormat="1" ht="13.05" customHeight="1">
      <c r="A248" s="8">
        <v>243</v>
      </c>
      <c r="B248" s="30" t="s">
        <v>667</v>
      </c>
      <c r="C248" s="10" t="s">
        <v>2210</v>
      </c>
      <c r="D248" s="13" t="s">
        <v>666</v>
      </c>
      <c r="E248" s="9" t="s">
        <v>24</v>
      </c>
      <c r="F248" s="9" t="s">
        <v>2397</v>
      </c>
      <c r="G248" s="9" t="s">
        <v>25</v>
      </c>
      <c r="H248" s="9" t="s">
        <v>13</v>
      </c>
      <c r="I248" s="15" t="s">
        <v>1927</v>
      </c>
      <c r="J248" s="11">
        <v>32890</v>
      </c>
      <c r="K248" s="9" t="str">
        <f t="shared" ref="K248:K310" ca="1" si="4">DATEDIF(J248,$B$3,"Y")&amp;" tahun, "&amp;DATEDIF(J248,$B$3,"Ym")&amp;" bulan"</f>
        <v>36 tahun, 6 bulan</v>
      </c>
      <c r="L248" s="12" t="s">
        <v>1401</v>
      </c>
      <c r="M248" s="12" t="s">
        <v>1402</v>
      </c>
      <c r="N248" s="12"/>
      <c r="O248" s="12" t="s">
        <v>1403</v>
      </c>
    </row>
    <row r="249" spans="1:15" s="6" customFormat="1" ht="13.05" customHeight="1">
      <c r="A249" s="8">
        <v>244</v>
      </c>
      <c r="B249" s="30" t="s">
        <v>671</v>
      </c>
      <c r="C249" s="10" t="s">
        <v>2073</v>
      </c>
      <c r="D249" s="13" t="s">
        <v>670</v>
      </c>
      <c r="E249" s="9" t="s">
        <v>24</v>
      </c>
      <c r="F249" s="9" t="s">
        <v>2397</v>
      </c>
      <c r="G249" s="9" t="s">
        <v>25</v>
      </c>
      <c r="H249" s="9" t="s">
        <v>13</v>
      </c>
      <c r="I249" s="15" t="s">
        <v>1842</v>
      </c>
      <c r="J249" s="11">
        <v>33149</v>
      </c>
      <c r="K249" s="9" t="str">
        <f t="shared" ca="1" si="4"/>
        <v>35 tahun, 9 bulan</v>
      </c>
      <c r="L249" s="12" t="s">
        <v>1404</v>
      </c>
      <c r="M249" s="12"/>
      <c r="N249" s="12"/>
      <c r="O249" s="12"/>
    </row>
    <row r="250" spans="1:15" s="6" customFormat="1" ht="13.05" customHeight="1">
      <c r="A250" s="8">
        <v>245</v>
      </c>
      <c r="B250" s="30" t="s">
        <v>2014</v>
      </c>
      <c r="C250" s="10" t="s">
        <v>2214</v>
      </c>
      <c r="D250" s="13" t="s">
        <v>2013</v>
      </c>
      <c r="E250" s="9" t="s">
        <v>24</v>
      </c>
      <c r="F250" s="9" t="s">
        <v>2397</v>
      </c>
      <c r="G250" s="9" t="s">
        <v>25</v>
      </c>
      <c r="H250" s="9" t="s">
        <v>290</v>
      </c>
      <c r="I250" s="15" t="s">
        <v>1833</v>
      </c>
      <c r="J250" s="11">
        <v>34092</v>
      </c>
      <c r="K250" s="9" t="str">
        <f t="shared" ca="1" si="4"/>
        <v>33 tahun, 2 bulan</v>
      </c>
      <c r="L250" s="12"/>
      <c r="M250" s="12"/>
      <c r="N250" s="12"/>
      <c r="O250" s="12" t="s">
        <v>2015</v>
      </c>
    </row>
    <row r="251" spans="1:15" s="34" customFormat="1" ht="13.05" customHeight="1">
      <c r="A251" s="8">
        <v>246</v>
      </c>
      <c r="B251" s="36" t="s">
        <v>65</v>
      </c>
      <c r="C251" s="37" t="s">
        <v>2302</v>
      </c>
      <c r="D251" s="38" t="s">
        <v>64</v>
      </c>
      <c r="E251" s="32" t="s">
        <v>37</v>
      </c>
      <c r="F251" s="32" t="s">
        <v>29</v>
      </c>
      <c r="G251" s="32" t="s">
        <v>25</v>
      </c>
      <c r="H251" s="32" t="s">
        <v>13</v>
      </c>
      <c r="I251" s="33" t="s">
        <v>1824</v>
      </c>
      <c r="J251" s="39">
        <v>22493</v>
      </c>
      <c r="K251" s="32" t="str">
        <f t="shared" ca="1" si="4"/>
        <v>64 tahun, 11 bulan</v>
      </c>
      <c r="L251" s="40"/>
      <c r="M251" s="40" t="s">
        <v>1435</v>
      </c>
      <c r="N251" s="40"/>
      <c r="O251" s="40"/>
    </row>
    <row r="252" spans="1:15" s="6" customFormat="1" ht="13.05" customHeight="1">
      <c r="A252" s="8">
        <v>247</v>
      </c>
      <c r="B252" s="31" t="s">
        <v>96</v>
      </c>
      <c r="C252" s="41" t="s">
        <v>2298</v>
      </c>
      <c r="D252" s="13" t="s">
        <v>95</v>
      </c>
      <c r="E252" s="9" t="s">
        <v>37</v>
      </c>
      <c r="F252" s="9" t="s">
        <v>29</v>
      </c>
      <c r="G252" s="9" t="s">
        <v>25</v>
      </c>
      <c r="H252" s="9" t="s">
        <v>15</v>
      </c>
      <c r="I252" s="15" t="s">
        <v>1843</v>
      </c>
      <c r="J252" s="11">
        <v>22996</v>
      </c>
      <c r="K252" s="9" t="str">
        <f t="shared" ca="1" si="4"/>
        <v>63 tahun, 7 bulan</v>
      </c>
      <c r="L252" s="12" t="s">
        <v>1456</v>
      </c>
      <c r="M252" s="12" t="s">
        <v>1457</v>
      </c>
      <c r="N252" s="12"/>
      <c r="O252" s="12" t="s">
        <v>1458</v>
      </c>
    </row>
    <row r="253" spans="1:15" s="6" customFormat="1" ht="13.05" customHeight="1">
      <c r="A253" s="8">
        <v>248</v>
      </c>
      <c r="B253" s="30" t="s">
        <v>100</v>
      </c>
      <c r="C253" s="10" t="s">
        <v>2301</v>
      </c>
      <c r="D253" s="13" t="s">
        <v>99</v>
      </c>
      <c r="E253" s="9" t="s">
        <v>37</v>
      </c>
      <c r="F253" s="9" t="s">
        <v>29</v>
      </c>
      <c r="G253" s="9" t="s">
        <v>25</v>
      </c>
      <c r="H253" s="9" t="s">
        <v>13</v>
      </c>
      <c r="I253" s="15" t="s">
        <v>1830</v>
      </c>
      <c r="J253" s="11">
        <v>23063</v>
      </c>
      <c r="K253" s="9" t="str">
        <f t="shared" ca="1" si="4"/>
        <v>63 tahun, 5 bulan</v>
      </c>
      <c r="L253" s="12"/>
      <c r="M253" s="12" t="s">
        <v>1459</v>
      </c>
      <c r="N253" s="12"/>
      <c r="O253" s="12"/>
    </row>
    <row r="254" spans="1:15" s="6" customFormat="1" ht="13.05" customHeight="1">
      <c r="A254" s="8">
        <v>249</v>
      </c>
      <c r="B254" s="30" t="s">
        <v>114</v>
      </c>
      <c r="C254" s="10" t="s">
        <v>2303</v>
      </c>
      <c r="D254" s="13" t="s">
        <v>113</v>
      </c>
      <c r="E254" s="9" t="s">
        <v>37</v>
      </c>
      <c r="F254" s="9" t="s">
        <v>29</v>
      </c>
      <c r="G254" s="9" t="s">
        <v>25</v>
      </c>
      <c r="H254" s="9" t="s">
        <v>13</v>
      </c>
      <c r="I254" s="15" t="s">
        <v>1825</v>
      </c>
      <c r="J254" s="11">
        <v>23305</v>
      </c>
      <c r="K254" s="9" t="str">
        <f t="shared" ca="1" si="4"/>
        <v>62 tahun, 9 bulan</v>
      </c>
      <c r="L254" s="12"/>
      <c r="M254" s="12" t="s">
        <v>1610</v>
      </c>
      <c r="N254" s="12"/>
      <c r="O254" s="12"/>
    </row>
    <row r="255" spans="1:15" s="6" customFormat="1" ht="13.05" customHeight="1">
      <c r="A255" s="8">
        <v>250</v>
      </c>
      <c r="B255" s="30" t="s">
        <v>130</v>
      </c>
      <c r="C255" s="10" t="s">
        <v>2300</v>
      </c>
      <c r="D255" s="13" t="s">
        <v>129</v>
      </c>
      <c r="E255" s="9" t="s">
        <v>37</v>
      </c>
      <c r="F255" s="9" t="s">
        <v>29</v>
      </c>
      <c r="G255" s="9" t="s">
        <v>25</v>
      </c>
      <c r="H255" s="9" t="s">
        <v>15</v>
      </c>
      <c r="I255" s="15"/>
      <c r="J255" s="11">
        <v>26049</v>
      </c>
      <c r="K255" s="9" t="str">
        <f t="shared" ca="1" si="4"/>
        <v>55 tahun, 3 bulan</v>
      </c>
      <c r="L255" s="12"/>
      <c r="M255" s="12" t="s">
        <v>1734</v>
      </c>
      <c r="N255" s="12"/>
      <c r="O255" s="12"/>
    </row>
    <row r="256" spans="1:15" s="6" customFormat="1" ht="13.05" customHeight="1">
      <c r="A256" s="8">
        <v>251</v>
      </c>
      <c r="B256" s="30" t="s">
        <v>183</v>
      </c>
      <c r="C256" s="10" t="s">
        <v>2228</v>
      </c>
      <c r="D256" s="13" t="s">
        <v>182</v>
      </c>
      <c r="E256" s="9" t="s">
        <v>37</v>
      </c>
      <c r="F256" s="9" t="s">
        <v>29</v>
      </c>
      <c r="G256" s="9" t="s">
        <v>25</v>
      </c>
      <c r="H256" s="9" t="s">
        <v>13</v>
      </c>
      <c r="I256" s="15" t="s">
        <v>1825</v>
      </c>
      <c r="J256" s="11">
        <v>24617</v>
      </c>
      <c r="K256" s="9" t="str">
        <f t="shared" ca="1" si="4"/>
        <v>59 tahun, 2 bulan</v>
      </c>
      <c r="L256" s="12"/>
      <c r="M256" s="12" t="s">
        <v>1746</v>
      </c>
      <c r="N256" s="12"/>
      <c r="O256" s="12"/>
    </row>
    <row r="257" spans="1:15" s="6" customFormat="1" ht="13.05" customHeight="1">
      <c r="A257" s="8">
        <v>252</v>
      </c>
      <c r="B257" s="30" t="s">
        <v>189</v>
      </c>
      <c r="C257" s="10" t="s">
        <v>2299</v>
      </c>
      <c r="D257" s="13" t="s">
        <v>188</v>
      </c>
      <c r="E257" s="9" t="s">
        <v>37</v>
      </c>
      <c r="F257" s="9" t="s">
        <v>29</v>
      </c>
      <c r="G257" s="9" t="s">
        <v>25</v>
      </c>
      <c r="H257" s="9" t="s">
        <v>13</v>
      </c>
      <c r="I257" s="15" t="s">
        <v>1888</v>
      </c>
      <c r="J257" s="11">
        <v>24709</v>
      </c>
      <c r="K257" s="9" t="str">
        <f t="shared" ca="1" si="4"/>
        <v>58 tahun, 11 bulan</v>
      </c>
      <c r="L257" s="12"/>
      <c r="M257" s="12" t="s">
        <v>1519</v>
      </c>
      <c r="N257" s="12"/>
      <c r="O257" s="12"/>
    </row>
    <row r="258" spans="1:15" s="6" customFormat="1" ht="13.05" customHeight="1">
      <c r="A258" s="8">
        <v>253</v>
      </c>
      <c r="B258" s="30" t="s">
        <v>246</v>
      </c>
      <c r="C258" s="10" t="s">
        <v>2062</v>
      </c>
      <c r="D258" s="13" t="s">
        <v>245</v>
      </c>
      <c r="E258" s="9" t="s">
        <v>37</v>
      </c>
      <c r="F258" s="9" t="s">
        <v>2397</v>
      </c>
      <c r="G258" s="9" t="s">
        <v>25</v>
      </c>
      <c r="H258" s="9" t="s">
        <v>15</v>
      </c>
      <c r="I258" s="15" t="s">
        <v>1825</v>
      </c>
      <c r="J258" s="11">
        <v>25776</v>
      </c>
      <c r="K258" s="9" t="str">
        <f t="shared" ca="1" si="4"/>
        <v>56 tahun, 0 bulan</v>
      </c>
      <c r="L258" s="12" t="s">
        <v>772</v>
      </c>
      <c r="M258" s="12" t="s">
        <v>773</v>
      </c>
      <c r="N258" s="12" t="s">
        <v>774</v>
      </c>
      <c r="O258" s="12" t="s">
        <v>775</v>
      </c>
    </row>
    <row r="259" spans="1:15" s="6" customFormat="1" ht="13.05" customHeight="1">
      <c r="A259" s="8">
        <v>254</v>
      </c>
      <c r="B259" s="30" t="s">
        <v>256</v>
      </c>
      <c r="C259" s="41" t="s">
        <v>2616</v>
      </c>
      <c r="D259" s="13" t="s">
        <v>255</v>
      </c>
      <c r="E259" s="9" t="s">
        <v>37</v>
      </c>
      <c r="F259" s="9" t="s">
        <v>29</v>
      </c>
      <c r="G259" s="9" t="s">
        <v>25</v>
      </c>
      <c r="H259" s="9" t="s">
        <v>13</v>
      </c>
      <c r="I259" s="15" t="s">
        <v>1825</v>
      </c>
      <c r="J259" s="11">
        <v>25942</v>
      </c>
      <c r="K259" s="9" t="str">
        <f t="shared" ca="1" si="4"/>
        <v>55 tahun, 6 bulan</v>
      </c>
      <c r="L259" s="12" t="s">
        <v>1761</v>
      </c>
      <c r="M259" s="12" t="s">
        <v>1762</v>
      </c>
      <c r="N259" s="12"/>
      <c r="O259" s="12"/>
    </row>
    <row r="260" spans="1:15" s="6" customFormat="1" ht="13.05" customHeight="1">
      <c r="A260" s="8">
        <v>255</v>
      </c>
      <c r="B260" s="30" t="s">
        <v>286</v>
      </c>
      <c r="C260" s="10" t="s">
        <v>2229</v>
      </c>
      <c r="D260" s="13" t="s">
        <v>285</v>
      </c>
      <c r="E260" s="9" t="s">
        <v>37</v>
      </c>
      <c r="F260" s="9" t="s">
        <v>29</v>
      </c>
      <c r="G260" s="9" t="s">
        <v>25</v>
      </c>
      <c r="H260" s="9" t="s">
        <v>13</v>
      </c>
      <c r="I260" s="15" t="s">
        <v>1825</v>
      </c>
      <c r="J260" s="11">
        <v>26390</v>
      </c>
      <c r="K260" s="9" t="str">
        <f t="shared" ca="1" si="4"/>
        <v>54 tahun, 3 bulan</v>
      </c>
      <c r="L260" s="12"/>
      <c r="M260" s="12" t="s">
        <v>1648</v>
      </c>
      <c r="N260" s="12"/>
      <c r="O260" s="12"/>
    </row>
    <row r="261" spans="1:15" s="6" customFormat="1" ht="13.05" customHeight="1">
      <c r="A261" s="8">
        <v>256</v>
      </c>
      <c r="B261" s="30" t="s">
        <v>313</v>
      </c>
      <c r="C261" s="10" t="s">
        <v>2224</v>
      </c>
      <c r="D261" s="13" t="s">
        <v>312</v>
      </c>
      <c r="E261" s="9" t="s">
        <v>37</v>
      </c>
      <c r="F261" s="9" t="s">
        <v>29</v>
      </c>
      <c r="G261" s="9" t="s">
        <v>25</v>
      </c>
      <c r="H261" s="9" t="s">
        <v>13</v>
      </c>
      <c r="I261" s="15" t="s">
        <v>1824</v>
      </c>
      <c r="J261" s="11">
        <v>27057</v>
      </c>
      <c r="K261" s="9" t="str">
        <f t="shared" ca="1" si="4"/>
        <v>52 tahun, 6 bulan</v>
      </c>
      <c r="L261" s="12"/>
      <c r="M261" s="12" t="s">
        <v>1572</v>
      </c>
      <c r="N261" s="12"/>
      <c r="O261" s="12"/>
    </row>
    <row r="262" spans="1:15" s="6" customFormat="1" ht="13.05" customHeight="1">
      <c r="A262" s="8">
        <v>257</v>
      </c>
      <c r="B262" s="30" t="s">
        <v>366</v>
      </c>
      <c r="C262" s="10" t="s">
        <v>2155</v>
      </c>
      <c r="D262" s="13" t="s">
        <v>2000</v>
      </c>
      <c r="E262" s="9" t="s">
        <v>37</v>
      </c>
      <c r="F262" s="9" t="s">
        <v>2397</v>
      </c>
      <c r="G262" s="9" t="s">
        <v>57</v>
      </c>
      <c r="H262" s="9" t="s">
        <v>15</v>
      </c>
      <c r="I262" s="15" t="s">
        <v>1825</v>
      </c>
      <c r="J262" s="11">
        <v>27714</v>
      </c>
      <c r="K262" s="9" t="str">
        <f t="shared" ca="1" si="4"/>
        <v>50 tahun, 8 bulan</v>
      </c>
      <c r="L262" s="12" t="s">
        <v>1018</v>
      </c>
      <c r="M262" s="12" t="s">
        <v>1019</v>
      </c>
      <c r="N262" s="12"/>
      <c r="O262" s="12" t="s">
        <v>1020</v>
      </c>
    </row>
    <row r="263" spans="1:15" s="6" customFormat="1" ht="13.05" customHeight="1">
      <c r="A263" s="8">
        <v>258</v>
      </c>
      <c r="B263" s="30" t="s">
        <v>390</v>
      </c>
      <c r="C263" s="41" t="s">
        <v>2617</v>
      </c>
      <c r="D263" s="13" t="s">
        <v>389</v>
      </c>
      <c r="E263" s="9" t="s">
        <v>37</v>
      </c>
      <c r="F263" s="9" t="s">
        <v>29</v>
      </c>
      <c r="G263" s="9" t="s">
        <v>25</v>
      </c>
      <c r="H263" s="9" t="s">
        <v>13</v>
      </c>
      <c r="I263" s="15"/>
      <c r="J263" s="11">
        <v>27918</v>
      </c>
      <c r="K263" s="9" t="str">
        <f t="shared" ca="1" si="4"/>
        <v>50 tahun, 1 bulan</v>
      </c>
      <c r="L263" s="12"/>
      <c r="M263" s="12" t="s">
        <v>1787</v>
      </c>
      <c r="N263" s="12"/>
      <c r="O263" s="12"/>
    </row>
    <row r="264" spans="1:15" s="6" customFormat="1" ht="13.05" customHeight="1">
      <c r="A264" s="8">
        <v>259</v>
      </c>
      <c r="B264" s="31" t="s">
        <v>407</v>
      </c>
      <c r="C264" s="10" t="s">
        <v>2297</v>
      </c>
      <c r="D264" s="13" t="s">
        <v>406</v>
      </c>
      <c r="E264" s="9" t="s">
        <v>37</v>
      </c>
      <c r="F264" s="9" t="s">
        <v>2397</v>
      </c>
      <c r="G264" s="9" t="s">
        <v>25</v>
      </c>
      <c r="H264" s="9" t="s">
        <v>13</v>
      </c>
      <c r="I264" s="15" t="s">
        <v>1825</v>
      </c>
      <c r="J264" s="11">
        <v>28200</v>
      </c>
      <c r="K264" s="9" t="str">
        <f t="shared" ca="1" si="4"/>
        <v>49 tahun, 4 bulan</v>
      </c>
      <c r="L264" s="12" t="s">
        <v>1057</v>
      </c>
      <c r="M264" s="12" t="s">
        <v>1058</v>
      </c>
      <c r="N264" s="12" t="s">
        <v>1059</v>
      </c>
      <c r="O264" s="12" t="s">
        <v>1060</v>
      </c>
    </row>
    <row r="265" spans="1:15" s="6" customFormat="1" ht="13.05" customHeight="1">
      <c r="A265" s="8">
        <v>260</v>
      </c>
      <c r="B265" s="30" t="s">
        <v>413</v>
      </c>
      <c r="C265" s="10" t="s">
        <v>2296</v>
      </c>
      <c r="D265" s="13" t="s">
        <v>1993</v>
      </c>
      <c r="E265" s="9" t="s">
        <v>37</v>
      </c>
      <c r="F265" s="9" t="s">
        <v>2397</v>
      </c>
      <c r="G265" s="9" t="s">
        <v>25</v>
      </c>
      <c r="H265" s="9" t="s">
        <v>15</v>
      </c>
      <c r="I265" s="15" t="s">
        <v>1825</v>
      </c>
      <c r="J265" s="11">
        <v>28328</v>
      </c>
      <c r="K265" s="9" t="str">
        <f t="shared" ca="1" si="4"/>
        <v>49 tahun, 0 bulan</v>
      </c>
      <c r="L265" s="12" t="s">
        <v>1068</v>
      </c>
      <c r="M265" s="12" t="s">
        <v>1069</v>
      </c>
      <c r="N265" s="12" t="s">
        <v>1070</v>
      </c>
      <c r="O265" s="12" t="s">
        <v>1071</v>
      </c>
    </row>
    <row r="266" spans="1:15" s="6" customFormat="1" ht="13.05" customHeight="1">
      <c r="A266" s="8">
        <v>261</v>
      </c>
      <c r="B266" s="30" t="s">
        <v>415</v>
      </c>
      <c r="C266" s="10" t="s">
        <v>2295</v>
      </c>
      <c r="D266" s="13" t="s">
        <v>414</v>
      </c>
      <c r="E266" s="9" t="s">
        <v>37</v>
      </c>
      <c r="F266" s="9" t="s">
        <v>2397</v>
      </c>
      <c r="G266" s="9" t="s">
        <v>25</v>
      </c>
      <c r="H266" s="9" t="s">
        <v>13</v>
      </c>
      <c r="I266" s="15" t="s">
        <v>1825</v>
      </c>
      <c r="J266" s="11">
        <v>28391</v>
      </c>
      <c r="K266" s="9" t="str">
        <f t="shared" ca="1" si="4"/>
        <v>48 tahun, 10 bulan</v>
      </c>
      <c r="L266" s="12" t="s">
        <v>1072</v>
      </c>
      <c r="M266" s="12" t="s">
        <v>1073</v>
      </c>
      <c r="N266" s="12"/>
      <c r="O266" s="12" t="s">
        <v>1074</v>
      </c>
    </row>
    <row r="267" spans="1:15" s="6" customFormat="1" ht="13.05" customHeight="1">
      <c r="A267" s="8">
        <v>262</v>
      </c>
      <c r="B267" s="30" t="s">
        <v>420</v>
      </c>
      <c r="C267" s="10" t="s">
        <v>2176</v>
      </c>
      <c r="D267" s="13" t="s">
        <v>419</v>
      </c>
      <c r="E267" s="9" t="s">
        <v>37</v>
      </c>
      <c r="F267" s="9" t="s">
        <v>29</v>
      </c>
      <c r="G267" s="9" t="s">
        <v>25</v>
      </c>
      <c r="H267" s="9" t="s">
        <v>15</v>
      </c>
      <c r="I267" s="15"/>
      <c r="J267" s="11">
        <v>28424</v>
      </c>
      <c r="K267" s="9" t="str">
        <f t="shared" ca="1" si="4"/>
        <v>48 tahun, 9 bulan</v>
      </c>
      <c r="L267" s="12"/>
      <c r="M267" s="12" t="s">
        <v>1797</v>
      </c>
      <c r="N267" s="12"/>
      <c r="O267" s="12"/>
    </row>
    <row r="268" spans="1:15" s="6" customFormat="1" ht="13.05" customHeight="1">
      <c r="A268" s="8">
        <v>263</v>
      </c>
      <c r="B268" s="30" t="s">
        <v>431</v>
      </c>
      <c r="C268" s="10" t="s">
        <v>2222</v>
      </c>
      <c r="D268" s="13" t="s">
        <v>430</v>
      </c>
      <c r="E268" s="9" t="s">
        <v>37</v>
      </c>
      <c r="F268" s="9" t="s">
        <v>2397</v>
      </c>
      <c r="G268" s="9" t="s">
        <v>25</v>
      </c>
      <c r="H268" s="9" t="s">
        <v>15</v>
      </c>
      <c r="I268" s="15" t="s">
        <v>1825</v>
      </c>
      <c r="J268" s="11">
        <v>28510</v>
      </c>
      <c r="K268" s="9" t="str">
        <f t="shared" ca="1" si="4"/>
        <v>48 tahun, 6 bulan</v>
      </c>
      <c r="L268" s="12" t="s">
        <v>1083</v>
      </c>
      <c r="M268" s="12" t="s">
        <v>1084</v>
      </c>
      <c r="N268" s="12" t="s">
        <v>1085</v>
      </c>
      <c r="O268" s="12" t="s">
        <v>1086</v>
      </c>
    </row>
    <row r="269" spans="1:15" s="6" customFormat="1" ht="13.05" customHeight="1">
      <c r="A269" s="8">
        <v>264</v>
      </c>
      <c r="B269" s="30" t="s">
        <v>472</v>
      </c>
      <c r="C269" s="41" t="s">
        <v>2618</v>
      </c>
      <c r="D269" s="13" t="s">
        <v>471</v>
      </c>
      <c r="E269" s="9" t="s">
        <v>37</v>
      </c>
      <c r="F269" s="9" t="s">
        <v>29</v>
      </c>
      <c r="G269" s="9" t="s">
        <v>25</v>
      </c>
      <c r="H269" s="9" t="s">
        <v>13</v>
      </c>
      <c r="I269" s="15" t="s">
        <v>2033</v>
      </c>
      <c r="J269" s="11">
        <v>28919</v>
      </c>
      <c r="K269" s="9" t="str">
        <f t="shared" ca="1" si="4"/>
        <v>47 tahun, 4 bulan</v>
      </c>
      <c r="L269" s="12"/>
      <c r="M269" s="12" t="s">
        <v>1803</v>
      </c>
      <c r="N269" s="12"/>
      <c r="O269" s="12"/>
    </row>
    <row r="270" spans="1:15" s="6" customFormat="1" ht="13.05" customHeight="1">
      <c r="A270" s="8">
        <v>265</v>
      </c>
      <c r="B270" s="30" t="s">
        <v>519</v>
      </c>
      <c r="C270" s="10" t="s">
        <v>2101</v>
      </c>
      <c r="D270" s="13" t="s">
        <v>518</v>
      </c>
      <c r="E270" s="9" t="s">
        <v>37</v>
      </c>
      <c r="F270" s="9" t="s">
        <v>29</v>
      </c>
      <c r="G270" s="9" t="s">
        <v>25</v>
      </c>
      <c r="H270" s="9" t="s">
        <v>13</v>
      </c>
      <c r="I270" s="15" t="s">
        <v>1856</v>
      </c>
      <c r="J270" s="11">
        <v>29504</v>
      </c>
      <c r="K270" s="9" t="str">
        <f t="shared" ca="1" si="4"/>
        <v>45 tahun, 9 bulan</v>
      </c>
      <c r="L270" s="12" t="s">
        <v>1701</v>
      </c>
      <c r="M270" s="12" t="s">
        <v>1702</v>
      </c>
      <c r="N270" s="12"/>
      <c r="O270" s="12" t="s">
        <v>1703</v>
      </c>
    </row>
    <row r="271" spans="1:15" s="6" customFormat="1" ht="13.05" customHeight="1">
      <c r="A271" s="8">
        <v>266</v>
      </c>
      <c r="B271" s="30" t="s">
        <v>562</v>
      </c>
      <c r="C271" s="10" t="s">
        <v>2104</v>
      </c>
      <c r="D271" s="13" t="s">
        <v>561</v>
      </c>
      <c r="E271" s="9" t="s">
        <v>37</v>
      </c>
      <c r="F271" s="9" t="s">
        <v>29</v>
      </c>
      <c r="G271" s="9" t="s">
        <v>25</v>
      </c>
      <c r="H271" s="9" t="s">
        <v>15</v>
      </c>
      <c r="I271" s="15" t="s">
        <v>1856</v>
      </c>
      <c r="J271" s="11">
        <v>30382</v>
      </c>
      <c r="K271" s="9" t="str">
        <f t="shared" ca="1" si="4"/>
        <v>43 tahun, 4 bulan</v>
      </c>
      <c r="L271" s="12" t="s">
        <v>1709</v>
      </c>
      <c r="M271" s="12" t="s">
        <v>1710</v>
      </c>
      <c r="N271" s="12"/>
      <c r="O271" s="12" t="s">
        <v>1711</v>
      </c>
    </row>
    <row r="272" spans="1:15" s="6" customFormat="1" ht="13.05" customHeight="1">
      <c r="A272" s="8">
        <v>267</v>
      </c>
      <c r="B272" s="30" t="s">
        <v>577</v>
      </c>
      <c r="C272" s="10" t="s">
        <v>2160</v>
      </c>
      <c r="D272" s="13" t="s">
        <v>576</v>
      </c>
      <c r="E272" s="9" t="s">
        <v>37</v>
      </c>
      <c r="F272" s="9" t="s">
        <v>2397</v>
      </c>
      <c r="G272" s="9" t="s">
        <v>25</v>
      </c>
      <c r="H272" s="9" t="s">
        <v>13</v>
      </c>
      <c r="I272" s="15" t="s">
        <v>1889</v>
      </c>
      <c r="J272" s="11">
        <v>30744</v>
      </c>
      <c r="K272" s="9" t="str">
        <f t="shared" ca="1" si="4"/>
        <v>42 tahun, 4 bulan</v>
      </c>
      <c r="L272" s="12" t="s">
        <v>1278</v>
      </c>
      <c r="M272" s="12" t="s">
        <v>1279</v>
      </c>
      <c r="N272" s="12"/>
      <c r="O272" s="12" t="s">
        <v>1280</v>
      </c>
    </row>
    <row r="273" spans="1:15" s="6" customFormat="1" ht="13.05" customHeight="1">
      <c r="A273" s="8">
        <v>268</v>
      </c>
      <c r="B273" s="30" t="s">
        <v>1860</v>
      </c>
      <c r="C273" s="10" t="s">
        <v>2178</v>
      </c>
      <c r="D273" s="13" t="s">
        <v>590</v>
      </c>
      <c r="E273" s="9" t="s">
        <v>37</v>
      </c>
      <c r="F273" s="9" t="s">
        <v>29</v>
      </c>
      <c r="G273" s="9" t="s">
        <v>25</v>
      </c>
      <c r="H273" s="9" t="s">
        <v>15</v>
      </c>
      <c r="I273" s="15" t="s">
        <v>1824</v>
      </c>
      <c r="J273" s="11">
        <v>31047</v>
      </c>
      <c r="K273" s="9" t="str">
        <f t="shared" ca="1" si="4"/>
        <v>41 tahun, 6 bulan</v>
      </c>
      <c r="L273" s="12" t="s">
        <v>1812</v>
      </c>
      <c r="M273" s="12" t="s">
        <v>1813</v>
      </c>
      <c r="N273" s="12"/>
      <c r="O273" s="12" t="s">
        <v>1814</v>
      </c>
    </row>
    <row r="274" spans="1:15" s="6" customFormat="1" ht="13.05" customHeight="1">
      <c r="A274" s="8">
        <v>269</v>
      </c>
      <c r="B274" s="30" t="s">
        <v>596</v>
      </c>
      <c r="C274" s="41" t="s">
        <v>2102</v>
      </c>
      <c r="D274" s="13" t="s">
        <v>595</v>
      </c>
      <c r="E274" s="9" t="s">
        <v>37</v>
      </c>
      <c r="F274" s="9" t="s">
        <v>29</v>
      </c>
      <c r="G274" s="9" t="s">
        <v>25</v>
      </c>
      <c r="H274" s="9" t="s">
        <v>13</v>
      </c>
      <c r="I274" s="15" t="s">
        <v>1825</v>
      </c>
      <c r="J274" s="11">
        <v>31139</v>
      </c>
      <c r="K274" s="9" t="str">
        <f t="shared" ca="1" si="4"/>
        <v>41 tahun, 3 bulan</v>
      </c>
      <c r="L274" s="12" t="s">
        <v>1815</v>
      </c>
      <c r="M274" s="12" t="s">
        <v>1816</v>
      </c>
      <c r="N274" s="12"/>
      <c r="O274" s="12" t="s">
        <v>1817</v>
      </c>
    </row>
    <row r="275" spans="1:15" s="6" customFormat="1" ht="13.05" customHeight="1">
      <c r="A275" s="8">
        <v>270</v>
      </c>
      <c r="B275" s="30" t="s">
        <v>638</v>
      </c>
      <c r="C275" s="41" t="s">
        <v>2651</v>
      </c>
      <c r="D275" s="13" t="s">
        <v>637</v>
      </c>
      <c r="E275" s="9" t="s">
        <v>37</v>
      </c>
      <c r="F275" s="9" t="s">
        <v>29</v>
      </c>
      <c r="G275" s="9" t="s">
        <v>25</v>
      </c>
      <c r="H275" s="9" t="s">
        <v>15</v>
      </c>
      <c r="I275" s="15" t="s">
        <v>1825</v>
      </c>
      <c r="J275" s="11">
        <v>31748</v>
      </c>
      <c r="K275" s="9" t="str">
        <f t="shared" ca="1" si="4"/>
        <v>39 tahun, 7 bulan</v>
      </c>
      <c r="L275" s="12"/>
      <c r="M275" s="12"/>
      <c r="N275" s="12"/>
      <c r="O275" s="12"/>
    </row>
    <row r="276" spans="1:15" s="6" customFormat="1" ht="13.05" customHeight="1">
      <c r="A276" s="8">
        <v>271</v>
      </c>
      <c r="B276" s="30" t="s">
        <v>2593</v>
      </c>
      <c r="C276" s="10" t="s">
        <v>2594</v>
      </c>
      <c r="D276" s="13" t="s">
        <v>2592</v>
      </c>
      <c r="E276" s="9" t="s">
        <v>37</v>
      </c>
      <c r="F276" s="9" t="s">
        <v>29</v>
      </c>
      <c r="G276" s="9" t="s">
        <v>25</v>
      </c>
      <c r="H276" s="9" t="s">
        <v>13</v>
      </c>
      <c r="I276" s="15" t="s">
        <v>2595</v>
      </c>
      <c r="J276" s="11">
        <v>28890</v>
      </c>
      <c r="K276" s="9" t="str">
        <f t="shared" ca="1" si="4"/>
        <v>47 tahun, 5 bulan</v>
      </c>
      <c r="L276" s="12"/>
      <c r="M276" s="12"/>
      <c r="N276" s="12"/>
      <c r="O276" s="12"/>
    </row>
    <row r="277" spans="1:15" s="6" customFormat="1" ht="13.05" customHeight="1">
      <c r="A277" s="8">
        <v>272</v>
      </c>
      <c r="B277" s="31" t="s">
        <v>145</v>
      </c>
      <c r="C277" s="41" t="s">
        <v>2098</v>
      </c>
      <c r="D277" s="13" t="s">
        <v>144</v>
      </c>
      <c r="E277" s="9" t="s">
        <v>11</v>
      </c>
      <c r="F277" s="9" t="s">
        <v>29</v>
      </c>
      <c r="G277" s="9" t="s">
        <v>25</v>
      </c>
      <c r="H277" s="9" t="s">
        <v>13</v>
      </c>
      <c r="I277" s="15" t="s">
        <v>1907</v>
      </c>
      <c r="J277" s="11">
        <v>24151</v>
      </c>
      <c r="K277" s="9" t="str">
        <f t="shared" ca="1" si="4"/>
        <v>60 tahun, 5 bulan</v>
      </c>
      <c r="L277" s="12" t="s">
        <v>1494</v>
      </c>
      <c r="M277" s="12" t="s">
        <v>1495</v>
      </c>
      <c r="N277" s="12"/>
      <c r="O277" s="12" t="s">
        <v>1496</v>
      </c>
    </row>
    <row r="278" spans="1:15" s="6" customFormat="1" ht="13.05" customHeight="1">
      <c r="A278" s="8">
        <v>273</v>
      </c>
      <c r="B278" s="31" t="s">
        <v>172</v>
      </c>
      <c r="C278" s="10" t="s">
        <v>2315</v>
      </c>
      <c r="D278" s="13" t="s">
        <v>171</v>
      </c>
      <c r="E278" s="9" t="s">
        <v>11</v>
      </c>
      <c r="F278" s="9" t="s">
        <v>29</v>
      </c>
      <c r="G278" s="9" t="s">
        <v>25</v>
      </c>
      <c r="H278" s="9" t="s">
        <v>13</v>
      </c>
      <c r="I278" s="15" t="s">
        <v>1837</v>
      </c>
      <c r="J278" s="11">
        <v>24403</v>
      </c>
      <c r="K278" s="9" t="str">
        <f t="shared" ca="1" si="4"/>
        <v>59 tahun, 9 bulan</v>
      </c>
      <c r="L278" s="12" t="s">
        <v>1510</v>
      </c>
      <c r="M278" s="12" t="s">
        <v>1511</v>
      </c>
      <c r="N278" s="12"/>
      <c r="O278" s="12"/>
    </row>
    <row r="279" spans="1:15" s="6" customFormat="1" ht="13.05" customHeight="1">
      <c r="A279" s="8">
        <v>274</v>
      </c>
      <c r="B279" s="30" t="s">
        <v>230</v>
      </c>
      <c r="C279" s="10" t="s">
        <v>2316</v>
      </c>
      <c r="D279" s="13" t="s">
        <v>229</v>
      </c>
      <c r="E279" s="9" t="s">
        <v>11</v>
      </c>
      <c r="F279" s="9" t="s">
        <v>29</v>
      </c>
      <c r="G279" s="9" t="s">
        <v>25</v>
      </c>
      <c r="H279" s="9" t="s">
        <v>13</v>
      </c>
      <c r="I279" s="15" t="s">
        <v>1825</v>
      </c>
      <c r="J279" s="11">
        <v>25462</v>
      </c>
      <c r="K279" s="9" t="str">
        <f t="shared" ca="1" si="4"/>
        <v>56 tahun, 10 bulan</v>
      </c>
      <c r="L279" s="12" t="s">
        <v>1536</v>
      </c>
      <c r="M279" s="12" t="s">
        <v>1537</v>
      </c>
      <c r="N279" s="12"/>
      <c r="O279" s="12" t="s">
        <v>1538</v>
      </c>
    </row>
    <row r="280" spans="1:15" s="6" customFormat="1" ht="13.05" customHeight="1">
      <c r="A280" s="8">
        <v>275</v>
      </c>
      <c r="B280" s="31" t="s">
        <v>233</v>
      </c>
      <c r="C280" s="10" t="s">
        <v>2312</v>
      </c>
      <c r="D280" s="13" t="s">
        <v>2446</v>
      </c>
      <c r="E280" s="9" t="s">
        <v>11</v>
      </c>
      <c r="F280" s="9" t="s">
        <v>2397</v>
      </c>
      <c r="G280" s="9" t="s">
        <v>25</v>
      </c>
      <c r="H280" s="9" t="s">
        <v>15</v>
      </c>
      <c r="I280" s="15" t="s">
        <v>1825</v>
      </c>
      <c r="J280" s="11">
        <v>25500</v>
      </c>
      <c r="K280" s="9" t="str">
        <f t="shared" ca="1" si="4"/>
        <v>56 tahun, 9 bulan</v>
      </c>
      <c r="L280" s="12" t="s">
        <v>933</v>
      </c>
      <c r="M280" s="12" t="s">
        <v>934</v>
      </c>
      <c r="N280" s="12" t="s">
        <v>935</v>
      </c>
      <c r="O280" s="12" t="s">
        <v>936</v>
      </c>
    </row>
    <row r="281" spans="1:15" s="6" customFormat="1" ht="13.05" customHeight="1">
      <c r="A281" s="8">
        <v>276</v>
      </c>
      <c r="B281" s="30" t="s">
        <v>696</v>
      </c>
      <c r="C281" s="10" t="s">
        <v>2313</v>
      </c>
      <c r="D281" s="13" t="s">
        <v>2588</v>
      </c>
      <c r="E281" s="9" t="s">
        <v>11</v>
      </c>
      <c r="F281" s="9" t="s">
        <v>2397</v>
      </c>
      <c r="G281" s="9" t="s">
        <v>25</v>
      </c>
      <c r="H281" s="9" t="s">
        <v>13</v>
      </c>
      <c r="I281" s="15" t="s">
        <v>1929</v>
      </c>
      <c r="J281" s="11">
        <v>26084</v>
      </c>
      <c r="K281" s="9" t="str">
        <f t="shared" ca="1" si="4"/>
        <v>55 tahun, 1 bulan</v>
      </c>
      <c r="L281" s="12" t="s">
        <v>830</v>
      </c>
      <c r="M281" s="12" t="s">
        <v>831</v>
      </c>
      <c r="N281" s="12" t="s">
        <v>832</v>
      </c>
      <c r="O281" s="12" t="s">
        <v>833</v>
      </c>
    </row>
    <row r="282" spans="1:15" s="34" customFormat="1" ht="13.05" customHeight="1">
      <c r="A282" s="8">
        <v>277</v>
      </c>
      <c r="B282" s="36" t="s">
        <v>349</v>
      </c>
      <c r="C282" s="37" t="s">
        <v>2314</v>
      </c>
      <c r="D282" s="38" t="s">
        <v>348</v>
      </c>
      <c r="E282" s="32" t="s">
        <v>11</v>
      </c>
      <c r="F282" s="32" t="s">
        <v>2397</v>
      </c>
      <c r="G282" s="32" t="s">
        <v>25</v>
      </c>
      <c r="H282" s="32" t="s">
        <v>13</v>
      </c>
      <c r="I282" s="33" t="s">
        <v>1825</v>
      </c>
      <c r="J282" s="39">
        <v>27497</v>
      </c>
      <c r="K282" s="32" t="str">
        <f t="shared" ca="1" si="4"/>
        <v>51 tahun, 3 bulan</v>
      </c>
      <c r="L282" s="40" t="s">
        <v>858</v>
      </c>
      <c r="M282" s="40" t="s">
        <v>859</v>
      </c>
      <c r="N282" s="40" t="s">
        <v>860</v>
      </c>
      <c r="O282" s="40" t="s">
        <v>861</v>
      </c>
    </row>
    <row r="283" spans="1:15" s="6" customFormat="1" ht="13.05" customHeight="1">
      <c r="A283" s="8">
        <v>278</v>
      </c>
      <c r="B283" s="30" t="s">
        <v>375</v>
      </c>
      <c r="C283" s="10" t="s">
        <v>2126</v>
      </c>
      <c r="D283" s="13" t="s">
        <v>2429</v>
      </c>
      <c r="E283" s="9" t="s">
        <v>11</v>
      </c>
      <c r="F283" s="9" t="s">
        <v>2397</v>
      </c>
      <c r="G283" s="9" t="s">
        <v>25</v>
      </c>
      <c r="H283" s="9" t="s">
        <v>15</v>
      </c>
      <c r="I283" s="15" t="s">
        <v>1840</v>
      </c>
      <c r="J283" s="11">
        <v>27798</v>
      </c>
      <c r="K283" s="9" t="str">
        <f t="shared" ca="1" si="4"/>
        <v>50 tahun, 5 bulan</v>
      </c>
      <c r="L283" s="12" t="s">
        <v>1031</v>
      </c>
      <c r="M283" s="12" t="s">
        <v>1032</v>
      </c>
      <c r="N283" s="12" t="s">
        <v>1033</v>
      </c>
      <c r="O283" s="12" t="s">
        <v>1034</v>
      </c>
    </row>
    <row r="284" spans="1:15" s="6" customFormat="1" ht="13.05" customHeight="1">
      <c r="A284" s="8">
        <v>279</v>
      </c>
      <c r="B284" s="30" t="s">
        <v>405</v>
      </c>
      <c r="C284" s="10" t="s">
        <v>2311</v>
      </c>
      <c r="D284" s="13" t="s">
        <v>404</v>
      </c>
      <c r="E284" s="9" t="s">
        <v>11</v>
      </c>
      <c r="F284" s="9" t="s">
        <v>2397</v>
      </c>
      <c r="G284" s="9" t="s">
        <v>25</v>
      </c>
      <c r="H284" s="9" t="s">
        <v>13</v>
      </c>
      <c r="I284" s="15" t="s">
        <v>1825</v>
      </c>
      <c r="J284" s="11">
        <v>28200</v>
      </c>
      <c r="K284" s="9" t="str">
        <f t="shared" ca="1" si="4"/>
        <v>49 tahun, 4 bulan</v>
      </c>
      <c r="L284" s="12" t="s">
        <v>1054</v>
      </c>
      <c r="M284" s="12" t="s">
        <v>1055</v>
      </c>
      <c r="N284" s="12"/>
      <c r="O284" s="12" t="s">
        <v>1056</v>
      </c>
    </row>
    <row r="285" spans="1:15" s="6" customFormat="1" ht="13.05" customHeight="1">
      <c r="A285" s="8">
        <v>280</v>
      </c>
      <c r="B285" s="30" t="s">
        <v>436</v>
      </c>
      <c r="C285" s="10" t="s">
        <v>2089</v>
      </c>
      <c r="D285" s="13" t="s">
        <v>2395</v>
      </c>
      <c r="E285" s="9" t="s">
        <v>11</v>
      </c>
      <c r="F285" s="9" t="s">
        <v>2397</v>
      </c>
      <c r="G285" s="9" t="s">
        <v>25</v>
      </c>
      <c r="H285" s="9" t="s">
        <v>13</v>
      </c>
      <c r="I285" s="15" t="s">
        <v>1825</v>
      </c>
      <c r="J285" s="11">
        <v>28615</v>
      </c>
      <c r="K285" s="9" t="str">
        <f t="shared" ca="1" si="4"/>
        <v>48 tahun, 2 bulan</v>
      </c>
      <c r="L285" s="12" t="s">
        <v>1216</v>
      </c>
      <c r="M285" s="12" t="s">
        <v>1217</v>
      </c>
      <c r="N285" s="12"/>
      <c r="O285" s="12" t="s">
        <v>1218</v>
      </c>
    </row>
    <row r="286" spans="1:15" s="6" customFormat="1" ht="13.05" customHeight="1">
      <c r="A286" s="8">
        <v>281</v>
      </c>
      <c r="B286" s="30" t="s">
        <v>1920</v>
      </c>
      <c r="C286" s="10" t="s">
        <v>2192</v>
      </c>
      <c r="D286" s="13" t="s">
        <v>1930</v>
      </c>
      <c r="E286" s="9" t="s">
        <v>11</v>
      </c>
      <c r="F286" s="9" t="s">
        <v>29</v>
      </c>
      <c r="G286" s="9"/>
      <c r="H286" s="9" t="s">
        <v>13</v>
      </c>
      <c r="I286" s="15" t="s">
        <v>1825</v>
      </c>
      <c r="J286" s="11">
        <v>32108</v>
      </c>
      <c r="K286" s="9" t="str">
        <f t="shared" ca="1" si="4"/>
        <v>38 tahun, 8 bulan</v>
      </c>
      <c r="L286" s="12"/>
      <c r="M286" s="12"/>
      <c r="N286" s="12"/>
      <c r="O286" s="12"/>
    </row>
    <row r="287" spans="1:15" s="6" customFormat="1" ht="13.05" customHeight="1">
      <c r="A287" s="8">
        <v>282</v>
      </c>
      <c r="B287" s="30" t="s">
        <v>82</v>
      </c>
      <c r="C287" s="10" t="s">
        <v>2392</v>
      </c>
      <c r="D287" s="13" t="s">
        <v>81</v>
      </c>
      <c r="E287" s="9" t="s">
        <v>22</v>
      </c>
      <c r="F287" s="9" t="s">
        <v>29</v>
      </c>
      <c r="G287" s="9" t="s">
        <v>25</v>
      </c>
      <c r="H287" s="9" t="s">
        <v>13</v>
      </c>
      <c r="I287" s="15" t="s">
        <v>1825</v>
      </c>
      <c r="J287" s="11">
        <v>22843</v>
      </c>
      <c r="K287" s="9" t="str">
        <f t="shared" ca="1" si="4"/>
        <v>64 tahun, 0 bulan</v>
      </c>
      <c r="L287" s="12" t="s">
        <v>1441</v>
      </c>
      <c r="M287" s="12" t="s">
        <v>1442</v>
      </c>
      <c r="N287" s="12" t="s">
        <v>1443</v>
      </c>
      <c r="O287" s="12" t="s">
        <v>1444</v>
      </c>
    </row>
    <row r="288" spans="1:15" s="6" customFormat="1" ht="13.05" customHeight="1">
      <c r="A288" s="8">
        <v>283</v>
      </c>
      <c r="B288" s="30" t="s">
        <v>89</v>
      </c>
      <c r="C288" s="10" t="s">
        <v>2390</v>
      </c>
      <c r="D288" s="13" t="s">
        <v>1974</v>
      </c>
      <c r="E288" s="9" t="s">
        <v>22</v>
      </c>
      <c r="F288" s="9" t="s">
        <v>29</v>
      </c>
      <c r="G288" s="9" t="s">
        <v>25</v>
      </c>
      <c r="H288" s="9" t="s">
        <v>15</v>
      </c>
      <c r="I288" s="15" t="s">
        <v>1825</v>
      </c>
      <c r="J288" s="11">
        <v>22942</v>
      </c>
      <c r="K288" s="9" t="str">
        <f t="shared" ca="1" si="4"/>
        <v>63 tahun, 9 bulan</v>
      </c>
      <c r="L288" s="12" t="s">
        <v>1445</v>
      </c>
      <c r="M288" s="12" t="s">
        <v>1446</v>
      </c>
      <c r="N288" s="12"/>
      <c r="O288" s="12" t="s">
        <v>1447</v>
      </c>
    </row>
    <row r="289" spans="1:15" s="6" customFormat="1" ht="13.05" customHeight="1">
      <c r="A289" s="8">
        <v>284</v>
      </c>
      <c r="B289" s="30" t="s">
        <v>101</v>
      </c>
      <c r="C289" s="10" t="s">
        <v>2281</v>
      </c>
      <c r="D289" s="13" t="s">
        <v>1973</v>
      </c>
      <c r="E289" s="9" t="s">
        <v>22</v>
      </c>
      <c r="F289" s="9" t="s">
        <v>29</v>
      </c>
      <c r="G289" s="9" t="s">
        <v>25</v>
      </c>
      <c r="H289" s="9" t="s">
        <v>15</v>
      </c>
      <c r="I289" s="15" t="s">
        <v>1825</v>
      </c>
      <c r="J289" s="11">
        <v>23112</v>
      </c>
      <c r="K289" s="9" t="str">
        <f t="shared" ca="1" si="4"/>
        <v>63 tahun, 3 bulan</v>
      </c>
      <c r="L289" s="12" t="s">
        <v>1460</v>
      </c>
      <c r="M289" s="12" t="s">
        <v>1461</v>
      </c>
      <c r="N289" s="12" t="s">
        <v>1462</v>
      </c>
      <c r="O289" s="12" t="s">
        <v>1463</v>
      </c>
    </row>
    <row r="290" spans="1:15" s="6" customFormat="1" ht="13.05" customHeight="1">
      <c r="A290" s="8">
        <v>285</v>
      </c>
      <c r="B290" s="30" t="s">
        <v>116</v>
      </c>
      <c r="C290" s="10" t="s">
        <v>2290</v>
      </c>
      <c r="D290" s="13" t="s">
        <v>115</v>
      </c>
      <c r="E290" s="9" t="s">
        <v>22</v>
      </c>
      <c r="F290" s="9" t="s">
        <v>29</v>
      </c>
      <c r="G290" s="9" t="s">
        <v>25</v>
      </c>
      <c r="H290" s="9" t="s">
        <v>15</v>
      </c>
      <c r="I290" s="15" t="s">
        <v>1825</v>
      </c>
      <c r="J290" s="11">
        <v>23312</v>
      </c>
      <c r="K290" s="9" t="str">
        <f t="shared" ca="1" si="4"/>
        <v>62 tahun, 9 bulan</v>
      </c>
      <c r="L290" s="12"/>
      <c r="M290" s="12"/>
      <c r="N290" s="12"/>
      <c r="O290" s="12"/>
    </row>
    <row r="291" spans="1:15" s="6" customFormat="1" ht="13.05" customHeight="1">
      <c r="A291" s="8">
        <v>286</v>
      </c>
      <c r="B291" s="30" t="s">
        <v>117</v>
      </c>
      <c r="C291" s="10" t="s">
        <v>2398</v>
      </c>
      <c r="D291" s="13" t="s">
        <v>1979</v>
      </c>
      <c r="E291" s="9" t="s">
        <v>22</v>
      </c>
      <c r="F291" s="9" t="s">
        <v>29</v>
      </c>
      <c r="G291" s="9" t="s">
        <v>25</v>
      </c>
      <c r="H291" s="9" t="s">
        <v>15</v>
      </c>
      <c r="I291" s="15" t="s">
        <v>1825</v>
      </c>
      <c r="J291" s="11">
        <v>23351</v>
      </c>
      <c r="K291" s="9" t="str">
        <f t="shared" ca="1" si="4"/>
        <v>62 tahun, 7 bulan</v>
      </c>
      <c r="L291" s="12" t="s">
        <v>1471</v>
      </c>
      <c r="M291" s="12" t="s">
        <v>1472</v>
      </c>
      <c r="N291" s="12"/>
      <c r="O291" s="12" t="s">
        <v>1473</v>
      </c>
    </row>
    <row r="292" spans="1:15" s="6" customFormat="1" ht="13.05" customHeight="1">
      <c r="A292" s="8">
        <v>287</v>
      </c>
      <c r="B292" s="31" t="s">
        <v>128</v>
      </c>
      <c r="C292" s="10" t="s">
        <v>2285</v>
      </c>
      <c r="D292" s="13" t="s">
        <v>2448</v>
      </c>
      <c r="E292" s="9" t="s">
        <v>22</v>
      </c>
      <c r="F292" s="9" t="s">
        <v>29</v>
      </c>
      <c r="G292" s="9" t="s">
        <v>25</v>
      </c>
      <c r="H292" s="9" t="s">
        <v>13</v>
      </c>
      <c r="I292" s="15" t="s">
        <v>1868</v>
      </c>
      <c r="J292" s="11">
        <v>23790</v>
      </c>
      <c r="K292" s="9" t="str">
        <f t="shared" ca="1" si="4"/>
        <v>61 tahun, 5 bulan</v>
      </c>
      <c r="L292" s="12" t="s">
        <v>1611</v>
      </c>
      <c r="M292" s="12" t="s">
        <v>1612</v>
      </c>
      <c r="N292" s="12"/>
      <c r="O292" s="12" t="s">
        <v>1613</v>
      </c>
    </row>
    <row r="293" spans="1:15" s="6" customFormat="1" ht="13.05" customHeight="1">
      <c r="A293" s="8">
        <v>288</v>
      </c>
      <c r="B293" s="30" t="s">
        <v>134</v>
      </c>
      <c r="C293" s="10" t="s">
        <v>2430</v>
      </c>
      <c r="D293" s="13" t="s">
        <v>1995</v>
      </c>
      <c r="E293" s="9" t="s">
        <v>22</v>
      </c>
      <c r="F293" s="9" t="s">
        <v>29</v>
      </c>
      <c r="G293" s="9" t="s">
        <v>25</v>
      </c>
      <c r="H293" s="9" t="s">
        <v>13</v>
      </c>
      <c r="I293" s="15" t="s">
        <v>1837</v>
      </c>
      <c r="J293" s="11">
        <v>23883</v>
      </c>
      <c r="K293" s="9" t="str">
        <f t="shared" ca="1" si="4"/>
        <v>61 tahun, 2 bulan</v>
      </c>
      <c r="L293" s="12" t="s">
        <v>1486</v>
      </c>
      <c r="M293" s="12" t="s">
        <v>1487</v>
      </c>
      <c r="N293" s="12" t="s">
        <v>1488</v>
      </c>
      <c r="O293" s="12" t="s">
        <v>1489</v>
      </c>
    </row>
    <row r="294" spans="1:15" s="6" customFormat="1" ht="13.05" customHeight="1">
      <c r="A294" s="8">
        <v>289</v>
      </c>
      <c r="B294" s="30" t="s">
        <v>136</v>
      </c>
      <c r="C294" s="10" t="s">
        <v>2389</v>
      </c>
      <c r="D294" s="13" t="s">
        <v>2431</v>
      </c>
      <c r="E294" s="9" t="s">
        <v>22</v>
      </c>
      <c r="F294" s="9" t="s">
        <v>2397</v>
      </c>
      <c r="G294" s="9" t="s">
        <v>25</v>
      </c>
      <c r="H294" s="9" t="s">
        <v>13</v>
      </c>
      <c r="I294" s="15" t="s">
        <v>1824</v>
      </c>
      <c r="J294" s="11">
        <v>23946</v>
      </c>
      <c r="K294" s="9" t="str">
        <f t="shared" ca="1" si="4"/>
        <v>61 tahun, 0 bulan</v>
      </c>
      <c r="L294" s="12" t="s">
        <v>907</v>
      </c>
      <c r="M294" s="12" t="s">
        <v>908</v>
      </c>
      <c r="N294" s="12" t="s">
        <v>909</v>
      </c>
      <c r="O294" s="12" t="s">
        <v>910</v>
      </c>
    </row>
    <row r="295" spans="1:15" s="6" customFormat="1" ht="13.05" customHeight="1">
      <c r="A295" s="8">
        <v>290</v>
      </c>
      <c r="B295" s="30" t="s">
        <v>150</v>
      </c>
      <c r="C295" s="10" t="s">
        <v>2288</v>
      </c>
      <c r="D295" s="13" t="s">
        <v>149</v>
      </c>
      <c r="E295" s="9" t="s">
        <v>22</v>
      </c>
      <c r="F295" s="9" t="s">
        <v>29</v>
      </c>
      <c r="G295" s="9" t="s">
        <v>25</v>
      </c>
      <c r="H295" s="9" t="s">
        <v>15</v>
      </c>
      <c r="I295" s="15" t="s">
        <v>1837</v>
      </c>
      <c r="J295" s="11">
        <v>24289</v>
      </c>
      <c r="K295" s="9" t="str">
        <f t="shared" ca="1" si="4"/>
        <v>60 tahun, 0 bulan</v>
      </c>
      <c r="L295" s="12" t="s">
        <v>1501</v>
      </c>
      <c r="M295" s="12" t="s">
        <v>1502</v>
      </c>
      <c r="N295" s="12"/>
      <c r="O295" s="12" t="s">
        <v>1503</v>
      </c>
    </row>
    <row r="296" spans="1:15" s="6" customFormat="1" ht="13.05" customHeight="1">
      <c r="A296" s="8">
        <v>291</v>
      </c>
      <c r="B296" s="30" t="s">
        <v>191</v>
      </c>
      <c r="C296" s="10" t="s">
        <v>2280</v>
      </c>
      <c r="D296" s="13" t="s">
        <v>190</v>
      </c>
      <c r="E296" s="9" t="s">
        <v>22</v>
      </c>
      <c r="F296" s="9" t="s">
        <v>29</v>
      </c>
      <c r="G296" s="9" t="s">
        <v>25</v>
      </c>
      <c r="H296" s="9" t="s">
        <v>13</v>
      </c>
      <c r="I296" s="15" t="s">
        <v>1825</v>
      </c>
      <c r="J296" s="11">
        <v>24789</v>
      </c>
      <c r="K296" s="9" t="str">
        <f t="shared" ca="1" si="4"/>
        <v>58 tahun, 8 bulan</v>
      </c>
      <c r="L296" s="12"/>
      <c r="M296" s="12" t="s">
        <v>1520</v>
      </c>
      <c r="N296" s="12"/>
      <c r="O296" s="12"/>
    </row>
    <row r="297" spans="1:15" s="6" customFormat="1" ht="13.05" customHeight="1">
      <c r="A297" s="8">
        <v>292</v>
      </c>
      <c r="B297" s="30" t="s">
        <v>197</v>
      </c>
      <c r="C297" s="41" t="s">
        <v>2619</v>
      </c>
      <c r="D297" s="13" t="s">
        <v>196</v>
      </c>
      <c r="E297" s="9" t="s">
        <v>22</v>
      </c>
      <c r="F297" s="9" t="s">
        <v>29</v>
      </c>
      <c r="G297" s="9" t="s">
        <v>25</v>
      </c>
      <c r="H297" s="9" t="s">
        <v>13</v>
      </c>
      <c r="I297" s="15" t="s">
        <v>1896</v>
      </c>
      <c r="J297" s="11">
        <v>25045</v>
      </c>
      <c r="K297" s="9" t="str">
        <f t="shared" ca="1" si="4"/>
        <v>58 tahun, 0 bulan</v>
      </c>
      <c r="L297" s="12"/>
      <c r="M297" s="12" t="s">
        <v>1626</v>
      </c>
      <c r="N297" s="12"/>
      <c r="O297" s="12"/>
    </row>
    <row r="298" spans="1:15" s="6" customFormat="1" ht="13.05" customHeight="1">
      <c r="A298" s="8">
        <v>293</v>
      </c>
      <c r="B298" s="30" t="s">
        <v>206</v>
      </c>
      <c r="C298" s="41" t="s">
        <v>2628</v>
      </c>
      <c r="D298" s="13" t="s">
        <v>2629</v>
      </c>
      <c r="E298" s="9" t="s">
        <v>22</v>
      </c>
      <c r="F298" s="9" t="s">
        <v>2397</v>
      </c>
      <c r="G298" s="9" t="s">
        <v>25</v>
      </c>
      <c r="H298" s="9" t="s">
        <v>15</v>
      </c>
      <c r="I298" s="15" t="s">
        <v>1825</v>
      </c>
      <c r="J298" s="11">
        <v>25196</v>
      </c>
      <c r="K298" s="9" t="str">
        <f t="shared" ca="1" si="4"/>
        <v>57 tahun, 7 bulan</v>
      </c>
      <c r="L298" s="12" t="s">
        <v>919</v>
      </c>
      <c r="M298" s="12" t="s">
        <v>920</v>
      </c>
      <c r="N298" s="12"/>
      <c r="O298" s="12" t="s">
        <v>921</v>
      </c>
    </row>
    <row r="299" spans="1:15" s="6" customFormat="1" ht="13.05" customHeight="1">
      <c r="A299" s="8">
        <v>294</v>
      </c>
      <c r="B299" s="31" t="s">
        <v>215</v>
      </c>
      <c r="C299" s="10" t="s">
        <v>2432</v>
      </c>
      <c r="D299" s="13" t="s">
        <v>214</v>
      </c>
      <c r="E299" s="9" t="s">
        <v>22</v>
      </c>
      <c r="F299" s="9" t="s">
        <v>29</v>
      </c>
      <c r="G299" s="9" t="s">
        <v>25</v>
      </c>
      <c r="H299" s="9" t="s">
        <v>15</v>
      </c>
      <c r="I299" s="15" t="s">
        <v>1837</v>
      </c>
      <c r="J299" s="11">
        <v>25256</v>
      </c>
      <c r="K299" s="9" t="str">
        <f t="shared" ca="1" si="4"/>
        <v>57 tahun, 5 bulan</v>
      </c>
      <c r="L299" s="12" t="s">
        <v>1629</v>
      </c>
      <c r="M299" s="12" t="s">
        <v>1630</v>
      </c>
      <c r="N299" s="12"/>
      <c r="O299" s="12" t="s">
        <v>1631</v>
      </c>
    </row>
    <row r="300" spans="1:15" s="6" customFormat="1" ht="13.05" customHeight="1">
      <c r="A300" s="8">
        <v>295</v>
      </c>
      <c r="B300" s="31" t="s">
        <v>219</v>
      </c>
      <c r="C300" s="10" t="s">
        <v>2284</v>
      </c>
      <c r="D300" s="13" t="s">
        <v>218</v>
      </c>
      <c r="E300" s="9" t="s">
        <v>22</v>
      </c>
      <c r="F300" s="9" t="s">
        <v>29</v>
      </c>
      <c r="G300" s="9" t="s">
        <v>25</v>
      </c>
      <c r="H300" s="9" t="s">
        <v>13</v>
      </c>
      <c r="I300" s="15" t="s">
        <v>1905</v>
      </c>
      <c r="J300" s="11">
        <v>25278</v>
      </c>
      <c r="K300" s="9" t="str">
        <f t="shared" ca="1" si="4"/>
        <v>57 tahun, 4 bulan</v>
      </c>
      <c r="L300" s="12"/>
      <c r="M300" s="12" t="s">
        <v>1529</v>
      </c>
      <c r="N300" s="12"/>
      <c r="O300" s="12"/>
    </row>
    <row r="301" spans="1:15" s="6" customFormat="1" ht="13.05" customHeight="1">
      <c r="A301" s="8">
        <v>296</v>
      </c>
      <c r="B301" s="30" t="s">
        <v>238</v>
      </c>
      <c r="C301" s="41" t="s">
        <v>2635</v>
      </c>
      <c r="D301" s="13" t="s">
        <v>1963</v>
      </c>
      <c r="E301" s="9" t="s">
        <v>22</v>
      </c>
      <c r="F301" s="9" t="s">
        <v>2397</v>
      </c>
      <c r="G301" s="9" t="s">
        <v>25</v>
      </c>
      <c r="H301" s="9" t="s">
        <v>15</v>
      </c>
      <c r="I301" s="15" t="s">
        <v>1825</v>
      </c>
      <c r="J301" s="11">
        <v>25683</v>
      </c>
      <c r="K301" s="9" t="str">
        <f t="shared" ca="1" si="4"/>
        <v>56 tahun, 3 bulan</v>
      </c>
      <c r="L301" s="12" t="s">
        <v>814</v>
      </c>
      <c r="M301" s="12" t="s">
        <v>815</v>
      </c>
      <c r="N301" s="12" t="s">
        <v>816</v>
      </c>
      <c r="O301" s="12" t="s">
        <v>817</v>
      </c>
    </row>
    <row r="302" spans="1:15" s="6" customFormat="1" ht="13.05" customHeight="1">
      <c r="A302" s="8">
        <v>297</v>
      </c>
      <c r="B302" s="31" t="s">
        <v>242</v>
      </c>
      <c r="C302" s="10" t="s">
        <v>2289</v>
      </c>
      <c r="D302" s="13" t="s">
        <v>241</v>
      </c>
      <c r="E302" s="9" t="s">
        <v>22</v>
      </c>
      <c r="F302" s="9" t="s">
        <v>29</v>
      </c>
      <c r="G302" s="9" t="s">
        <v>25</v>
      </c>
      <c r="H302" s="9" t="s">
        <v>13</v>
      </c>
      <c r="I302" s="15" t="s">
        <v>1824</v>
      </c>
      <c r="J302" s="11">
        <v>25757</v>
      </c>
      <c r="K302" s="9" t="str">
        <f t="shared" ca="1" si="4"/>
        <v>56 tahun, 0 bulan</v>
      </c>
      <c r="L302" s="12" t="s">
        <v>1543</v>
      </c>
      <c r="M302" s="12" t="s">
        <v>1544</v>
      </c>
      <c r="N302" s="12"/>
      <c r="O302" s="12" t="s">
        <v>1545</v>
      </c>
    </row>
    <row r="303" spans="1:15" s="6" customFormat="1" ht="13.05" customHeight="1">
      <c r="A303" s="8">
        <v>298</v>
      </c>
      <c r="B303" s="30" t="s">
        <v>248</v>
      </c>
      <c r="C303" s="10" t="s">
        <v>2287</v>
      </c>
      <c r="D303" s="13" t="s">
        <v>247</v>
      </c>
      <c r="E303" s="9" t="s">
        <v>22</v>
      </c>
      <c r="F303" s="9" t="s">
        <v>29</v>
      </c>
      <c r="G303" s="9" t="s">
        <v>25</v>
      </c>
      <c r="H303" s="9" t="s">
        <v>15</v>
      </c>
      <c r="I303" s="15" t="s">
        <v>1856</v>
      </c>
      <c r="J303" s="11">
        <v>25854</v>
      </c>
      <c r="K303" s="9" t="str">
        <f t="shared" ca="1" si="4"/>
        <v>55 tahun, 9 bulan</v>
      </c>
      <c r="L303" s="12"/>
      <c r="M303" s="12" t="s">
        <v>1546</v>
      </c>
      <c r="N303" s="12"/>
      <c r="O303" s="12"/>
    </row>
    <row r="304" spans="1:15" s="6" customFormat="1" ht="13.05" customHeight="1">
      <c r="A304" s="8">
        <v>299</v>
      </c>
      <c r="B304" s="30" t="s">
        <v>267</v>
      </c>
      <c r="C304" s="10" t="s">
        <v>2433</v>
      </c>
      <c r="D304" s="13" t="s">
        <v>266</v>
      </c>
      <c r="E304" s="9" t="s">
        <v>22</v>
      </c>
      <c r="F304" s="9" t="s">
        <v>2397</v>
      </c>
      <c r="G304" s="9" t="s">
        <v>25</v>
      </c>
      <c r="H304" s="9" t="s">
        <v>15</v>
      </c>
      <c r="I304" s="15" t="s">
        <v>1825</v>
      </c>
      <c r="J304" s="11">
        <v>26156</v>
      </c>
      <c r="K304" s="9" t="str">
        <f t="shared" ca="1" si="4"/>
        <v>54 tahun, 11 bulan</v>
      </c>
      <c r="L304" s="12" t="s">
        <v>945</v>
      </c>
      <c r="M304" s="12" t="s">
        <v>946</v>
      </c>
      <c r="N304" s="12"/>
      <c r="O304" s="12" t="s">
        <v>947</v>
      </c>
    </row>
    <row r="305" spans="1:15" s="6" customFormat="1" ht="13.05" customHeight="1">
      <c r="A305" s="8">
        <v>300</v>
      </c>
      <c r="B305" s="30" t="s">
        <v>283</v>
      </c>
      <c r="C305" s="10" t="s">
        <v>2282</v>
      </c>
      <c r="D305" s="13" t="s">
        <v>282</v>
      </c>
      <c r="E305" s="9" t="s">
        <v>22</v>
      </c>
      <c r="F305" s="9" t="s">
        <v>29</v>
      </c>
      <c r="G305" s="9" t="s">
        <v>25</v>
      </c>
      <c r="H305" s="9" t="s">
        <v>15</v>
      </c>
      <c r="I305" s="15" t="s">
        <v>1825</v>
      </c>
      <c r="J305" s="11">
        <v>26285</v>
      </c>
      <c r="K305" s="9" t="str">
        <f t="shared" ca="1" si="4"/>
        <v>54 tahun, 7 bulan</v>
      </c>
      <c r="L305" s="12" t="s">
        <v>1646</v>
      </c>
      <c r="M305" s="12" t="s">
        <v>1647</v>
      </c>
      <c r="N305" s="12"/>
      <c r="O305" s="12"/>
    </row>
    <row r="306" spans="1:15" s="6" customFormat="1" ht="13.05" customHeight="1">
      <c r="A306" s="8">
        <v>301</v>
      </c>
      <c r="B306" s="30" t="s">
        <v>328</v>
      </c>
      <c r="C306" s="10" t="s">
        <v>2286</v>
      </c>
      <c r="D306" s="13" t="s">
        <v>327</v>
      </c>
      <c r="E306" s="9" t="s">
        <v>22</v>
      </c>
      <c r="F306" s="9" t="s">
        <v>29</v>
      </c>
      <c r="G306" s="9" t="s">
        <v>25</v>
      </c>
      <c r="H306" s="9" t="s">
        <v>13</v>
      </c>
      <c r="I306" s="15" t="s">
        <v>1825</v>
      </c>
      <c r="J306" s="11">
        <v>27261</v>
      </c>
      <c r="K306" s="9" t="str">
        <f t="shared" ca="1" si="4"/>
        <v>51 tahun, 11 bulan</v>
      </c>
      <c r="L306" s="12" t="s">
        <v>1650</v>
      </c>
      <c r="M306" s="12" t="s">
        <v>1651</v>
      </c>
      <c r="N306" s="12"/>
      <c r="O306" s="12" t="s">
        <v>1652</v>
      </c>
    </row>
    <row r="307" spans="1:15" s="6" customFormat="1" ht="13.05" customHeight="1">
      <c r="A307" s="8">
        <v>302</v>
      </c>
      <c r="B307" s="30" t="s">
        <v>331</v>
      </c>
      <c r="C307" s="10" t="s">
        <v>2388</v>
      </c>
      <c r="D307" s="13" t="s">
        <v>330</v>
      </c>
      <c r="E307" s="9" t="s">
        <v>22</v>
      </c>
      <c r="F307" s="9" t="s">
        <v>2397</v>
      </c>
      <c r="G307" s="9" t="s">
        <v>25</v>
      </c>
      <c r="H307" s="9" t="s">
        <v>13</v>
      </c>
      <c r="I307" s="15" t="s">
        <v>1825</v>
      </c>
      <c r="J307" s="11">
        <v>27377</v>
      </c>
      <c r="K307" s="9" t="str">
        <f t="shared" ca="1" si="4"/>
        <v>51 tahun, 7 bulan</v>
      </c>
      <c r="L307" s="12" t="s">
        <v>998</v>
      </c>
      <c r="M307" s="12" t="s">
        <v>999</v>
      </c>
      <c r="N307" s="12"/>
      <c r="O307" s="12" t="s">
        <v>1000</v>
      </c>
    </row>
    <row r="308" spans="1:15" s="6" customFormat="1" ht="13.05" customHeight="1">
      <c r="A308" s="8">
        <v>303</v>
      </c>
      <c r="B308" s="30" t="s">
        <v>377</v>
      </c>
      <c r="C308" s="10" t="s">
        <v>2391</v>
      </c>
      <c r="D308" s="13" t="s">
        <v>376</v>
      </c>
      <c r="E308" s="9" t="s">
        <v>22</v>
      </c>
      <c r="F308" s="9" t="s">
        <v>29</v>
      </c>
      <c r="G308" s="9" t="s">
        <v>25</v>
      </c>
      <c r="H308" s="9" t="s">
        <v>15</v>
      </c>
      <c r="I308" s="15" t="s">
        <v>1898</v>
      </c>
      <c r="J308" s="11">
        <v>27804</v>
      </c>
      <c r="K308" s="9" t="str">
        <f t="shared" ca="1" si="4"/>
        <v>50 tahun, 5 bulan</v>
      </c>
      <c r="L308" s="12" t="s">
        <v>1588</v>
      </c>
      <c r="M308" s="12" t="s">
        <v>1589</v>
      </c>
      <c r="N308" s="12"/>
      <c r="O308" s="12"/>
    </row>
    <row r="309" spans="1:15" s="6" customFormat="1" ht="13.05" customHeight="1">
      <c r="A309" s="8">
        <v>304</v>
      </c>
      <c r="B309" s="30" t="s">
        <v>379</v>
      </c>
      <c r="C309" s="10" t="s">
        <v>2126</v>
      </c>
      <c r="D309" s="13" t="s">
        <v>378</v>
      </c>
      <c r="E309" s="9" t="s">
        <v>22</v>
      </c>
      <c r="F309" s="9" t="s">
        <v>2397</v>
      </c>
      <c r="G309" s="9" t="s">
        <v>25</v>
      </c>
      <c r="H309" s="9" t="s">
        <v>13</v>
      </c>
      <c r="I309" s="15" t="s">
        <v>1843</v>
      </c>
      <c r="J309" s="11">
        <v>27816</v>
      </c>
      <c r="K309" s="9" t="str">
        <f t="shared" ca="1" si="4"/>
        <v>50 tahun, 5 bulan</v>
      </c>
      <c r="L309" s="12" t="s">
        <v>1035</v>
      </c>
      <c r="M309" s="12" t="s">
        <v>1036</v>
      </c>
      <c r="N309" s="12"/>
      <c r="O309" s="12" t="s">
        <v>1037</v>
      </c>
    </row>
    <row r="310" spans="1:15" s="6" customFormat="1" ht="13.05" customHeight="1">
      <c r="A310" s="8">
        <v>305</v>
      </c>
      <c r="B310" s="30" t="s">
        <v>424</v>
      </c>
      <c r="C310" s="10" t="s">
        <v>2097</v>
      </c>
      <c r="D310" s="13" t="s">
        <v>423</v>
      </c>
      <c r="E310" s="9" t="s">
        <v>22</v>
      </c>
      <c r="F310" s="9" t="s">
        <v>29</v>
      </c>
      <c r="G310" s="9" t="s">
        <v>25</v>
      </c>
      <c r="H310" s="9" t="s">
        <v>15</v>
      </c>
      <c r="I310" s="15" t="s">
        <v>1825</v>
      </c>
      <c r="J310" s="11">
        <v>28453</v>
      </c>
      <c r="K310" s="9" t="str">
        <f t="shared" ca="1" si="4"/>
        <v>48 tahun, 8 bulan</v>
      </c>
      <c r="L310" s="12" t="s">
        <v>1670</v>
      </c>
      <c r="M310" s="12" t="s">
        <v>1671</v>
      </c>
      <c r="N310" s="12"/>
      <c r="O310" s="12" t="s">
        <v>1672</v>
      </c>
    </row>
    <row r="311" spans="1:15" s="6" customFormat="1" ht="13.05" customHeight="1">
      <c r="A311" s="8">
        <v>306</v>
      </c>
      <c r="B311" s="30" t="s">
        <v>1908</v>
      </c>
      <c r="C311" s="10" t="s">
        <v>2188</v>
      </c>
      <c r="D311" s="13" t="s">
        <v>432</v>
      </c>
      <c r="E311" s="9" t="s">
        <v>22</v>
      </c>
      <c r="F311" s="9" t="s">
        <v>29</v>
      </c>
      <c r="G311" s="9"/>
      <c r="H311" s="9" t="s">
        <v>13</v>
      </c>
      <c r="I311" s="15" t="s">
        <v>1825</v>
      </c>
      <c r="J311" s="11">
        <v>28542</v>
      </c>
      <c r="K311" s="9" t="str">
        <f t="shared" ref="K311:K368" ca="1" si="5">DATEDIF(J311,$B$3,"Y")&amp;" tahun, "&amp;DATEDIF(J311,$B$3,"Ym")&amp;" bulan"</f>
        <v>48 tahun, 5 bulan</v>
      </c>
      <c r="L311" s="12"/>
      <c r="M311" s="12"/>
      <c r="N311" s="12"/>
      <c r="O311" s="12"/>
    </row>
    <row r="312" spans="1:15" s="6" customFormat="1" ht="13.05" customHeight="1">
      <c r="A312" s="8">
        <v>307</v>
      </c>
      <c r="B312" s="30" t="s">
        <v>446</v>
      </c>
      <c r="C312" s="10" t="s">
        <v>2185</v>
      </c>
      <c r="D312" s="13" t="s">
        <v>445</v>
      </c>
      <c r="E312" s="9" t="s">
        <v>22</v>
      </c>
      <c r="F312" s="9" t="s">
        <v>29</v>
      </c>
      <c r="G312" s="9"/>
      <c r="H312" s="9" t="s">
        <v>13</v>
      </c>
      <c r="I312" s="15" t="s">
        <v>1833</v>
      </c>
      <c r="J312" s="11">
        <v>28706</v>
      </c>
      <c r="K312" s="9" t="str">
        <f t="shared" ca="1" si="5"/>
        <v>47 tahun, 11 bulan</v>
      </c>
      <c r="L312" s="12"/>
      <c r="M312" s="12"/>
      <c r="N312" s="12"/>
      <c r="O312" s="12"/>
    </row>
    <row r="313" spans="1:15" s="6" customFormat="1" ht="13.05" customHeight="1">
      <c r="A313" s="8">
        <v>308</v>
      </c>
      <c r="B313" s="30" t="s">
        <v>474</v>
      </c>
      <c r="C313" s="10" t="s">
        <v>2159</v>
      </c>
      <c r="D313" s="13" t="s">
        <v>473</v>
      </c>
      <c r="E313" s="9" t="s">
        <v>22</v>
      </c>
      <c r="F313" s="9" t="s">
        <v>2397</v>
      </c>
      <c r="G313" s="9" t="s">
        <v>25</v>
      </c>
      <c r="H313" s="9" t="s">
        <v>15</v>
      </c>
      <c r="I313" s="15" t="s">
        <v>1825</v>
      </c>
      <c r="J313" s="11">
        <v>28921</v>
      </c>
      <c r="K313" s="9" t="str">
        <f t="shared" ca="1" si="5"/>
        <v>47 tahun, 4 bulan</v>
      </c>
      <c r="L313" s="12" t="s">
        <v>1229</v>
      </c>
      <c r="M313" s="12" t="s">
        <v>1230</v>
      </c>
      <c r="N313" s="12" t="s">
        <v>1231</v>
      </c>
      <c r="O313" s="12" t="s">
        <v>1232</v>
      </c>
    </row>
    <row r="314" spans="1:15" s="6" customFormat="1" ht="13.05" customHeight="1">
      <c r="A314" s="8">
        <v>309</v>
      </c>
      <c r="B314" s="30" t="s">
        <v>476</v>
      </c>
      <c r="C314" s="10" t="s">
        <v>2118</v>
      </c>
      <c r="D314" s="13" t="s">
        <v>475</v>
      </c>
      <c r="E314" s="9" t="s">
        <v>22</v>
      </c>
      <c r="F314" s="9" t="s">
        <v>29</v>
      </c>
      <c r="G314" s="9" t="s">
        <v>25</v>
      </c>
      <c r="H314" s="9" t="s">
        <v>15</v>
      </c>
      <c r="I314" s="15" t="s">
        <v>1825</v>
      </c>
      <c r="J314" s="11">
        <v>28927</v>
      </c>
      <c r="K314" s="9" t="str">
        <f t="shared" ca="1" si="5"/>
        <v>47 tahun, 4 bulan</v>
      </c>
      <c r="L314" s="12" t="s">
        <v>1689</v>
      </c>
      <c r="M314" s="12" t="s">
        <v>1690</v>
      </c>
      <c r="N314" s="12" t="s">
        <v>1691</v>
      </c>
      <c r="O314" s="12" t="s">
        <v>1692</v>
      </c>
    </row>
    <row r="315" spans="1:15" s="6" customFormat="1" ht="13.05" customHeight="1">
      <c r="A315" s="8">
        <v>310</v>
      </c>
      <c r="B315" s="30" t="s">
        <v>553</v>
      </c>
      <c r="C315" s="10" t="s">
        <v>2283</v>
      </c>
      <c r="D315" s="13" t="s">
        <v>552</v>
      </c>
      <c r="E315" s="9" t="s">
        <v>22</v>
      </c>
      <c r="F315" s="9" t="s">
        <v>29</v>
      </c>
      <c r="G315" s="9" t="s">
        <v>25</v>
      </c>
      <c r="H315" s="9" t="s">
        <v>13</v>
      </c>
      <c r="I315" s="15" t="s">
        <v>1825</v>
      </c>
      <c r="J315" s="11">
        <v>30206</v>
      </c>
      <c r="K315" s="9" t="str">
        <f t="shared" ca="1" si="5"/>
        <v>43 tahun, 10 bulan</v>
      </c>
      <c r="L315" s="12" t="s">
        <v>1809</v>
      </c>
      <c r="M315" s="12" t="s">
        <v>1810</v>
      </c>
      <c r="N315" s="12"/>
      <c r="O315" s="12" t="s">
        <v>1811</v>
      </c>
    </row>
    <row r="316" spans="1:15" s="6" customFormat="1" ht="13.05" customHeight="1">
      <c r="A316" s="8">
        <v>311</v>
      </c>
      <c r="B316" s="30" t="s">
        <v>560</v>
      </c>
      <c r="C316" s="41" t="s">
        <v>2122</v>
      </c>
      <c r="D316" s="13" t="s">
        <v>559</v>
      </c>
      <c r="E316" s="9" t="s">
        <v>22</v>
      </c>
      <c r="F316" s="9" t="s">
        <v>29</v>
      </c>
      <c r="G316" s="9"/>
      <c r="H316" s="9" t="s">
        <v>15</v>
      </c>
      <c r="I316" s="15"/>
      <c r="J316" s="11">
        <v>30379</v>
      </c>
      <c r="K316" s="9" t="str">
        <f t="shared" ca="1" si="5"/>
        <v>43 tahun, 4 bulan</v>
      </c>
      <c r="L316" s="12"/>
      <c r="M316" s="12"/>
      <c r="N316" s="12"/>
      <c r="O316" s="12"/>
    </row>
    <row r="317" spans="1:15" s="6" customFormat="1" ht="13.05" customHeight="1">
      <c r="A317" s="8">
        <v>312</v>
      </c>
      <c r="B317" s="30" t="s">
        <v>1918</v>
      </c>
      <c r="C317" s="10" t="s">
        <v>2123</v>
      </c>
      <c r="D317" s="13" t="s">
        <v>579</v>
      </c>
      <c r="E317" s="9" t="s">
        <v>22</v>
      </c>
      <c r="F317" s="9" t="s">
        <v>29</v>
      </c>
      <c r="G317" s="9"/>
      <c r="H317" s="9" t="s">
        <v>13</v>
      </c>
      <c r="I317" s="15" t="s">
        <v>1825</v>
      </c>
      <c r="J317" s="11">
        <v>30758</v>
      </c>
      <c r="K317" s="9" t="str">
        <f t="shared" ca="1" si="5"/>
        <v>42 tahun, 4 bulan</v>
      </c>
      <c r="L317" s="12"/>
      <c r="M317" s="12"/>
      <c r="N317" s="12"/>
      <c r="O317" s="12"/>
    </row>
    <row r="318" spans="1:15" s="6" customFormat="1" ht="13.05" customHeight="1">
      <c r="A318" s="8">
        <v>313</v>
      </c>
      <c r="B318" s="30" t="s">
        <v>605</v>
      </c>
      <c r="C318" s="10" t="s">
        <v>2187</v>
      </c>
      <c r="D318" s="13" t="s">
        <v>604</v>
      </c>
      <c r="E318" s="9" t="s">
        <v>22</v>
      </c>
      <c r="F318" s="9" t="s">
        <v>29</v>
      </c>
      <c r="G318" s="9"/>
      <c r="H318" s="9" t="s">
        <v>13</v>
      </c>
      <c r="I318" s="15" t="s">
        <v>1856</v>
      </c>
      <c r="J318" s="11">
        <v>31240</v>
      </c>
      <c r="K318" s="9" t="str">
        <f t="shared" ca="1" si="5"/>
        <v>41 tahun, 0 bulan</v>
      </c>
      <c r="L318" s="12"/>
      <c r="M318" s="12"/>
      <c r="N318" s="12"/>
      <c r="O318" s="12"/>
    </row>
    <row r="319" spans="1:15" s="6" customFormat="1" ht="13.05" customHeight="1">
      <c r="A319" s="8">
        <v>314</v>
      </c>
      <c r="B319" s="30" t="s">
        <v>650</v>
      </c>
      <c r="C319" s="10" t="s">
        <v>2190</v>
      </c>
      <c r="D319" s="13" t="s">
        <v>649</v>
      </c>
      <c r="E319" s="9" t="s">
        <v>22</v>
      </c>
      <c r="F319" s="9" t="s">
        <v>29</v>
      </c>
      <c r="G319" s="9"/>
      <c r="H319" s="9" t="s">
        <v>15</v>
      </c>
      <c r="I319" s="15" t="s">
        <v>1825</v>
      </c>
      <c r="J319" s="11">
        <v>32071</v>
      </c>
      <c r="K319" s="9" t="str">
        <f t="shared" ca="1" si="5"/>
        <v>38 tahun, 9 bulan</v>
      </c>
      <c r="L319" s="12"/>
      <c r="M319" s="12"/>
      <c r="N319" s="12"/>
      <c r="O319" s="12"/>
    </row>
    <row r="320" spans="1:15" s="6" customFormat="1" ht="13.05" customHeight="1">
      <c r="A320" s="8">
        <v>315</v>
      </c>
      <c r="B320" s="30" t="s">
        <v>656</v>
      </c>
      <c r="C320" s="10" t="s">
        <v>2194</v>
      </c>
      <c r="D320" s="13" t="s">
        <v>655</v>
      </c>
      <c r="E320" s="9" t="s">
        <v>22</v>
      </c>
      <c r="F320" s="9" t="s">
        <v>29</v>
      </c>
      <c r="G320" s="9"/>
      <c r="H320" s="9" t="s">
        <v>15</v>
      </c>
      <c r="I320" s="15" t="s">
        <v>1910</v>
      </c>
      <c r="J320" s="11">
        <v>32388</v>
      </c>
      <c r="K320" s="9" t="str">
        <f t="shared" ca="1" si="5"/>
        <v>37 tahun, 10 bulan</v>
      </c>
      <c r="L320" s="12"/>
      <c r="M320" s="12"/>
      <c r="N320" s="12"/>
      <c r="O320" s="12"/>
    </row>
    <row r="321" spans="1:15" s="6" customFormat="1" ht="13.05" customHeight="1">
      <c r="A321" s="8">
        <v>316</v>
      </c>
      <c r="B321" s="31" t="s">
        <v>2012</v>
      </c>
      <c r="C321" s="10" t="s">
        <v>2212</v>
      </c>
      <c r="D321" s="13" t="s">
        <v>2011</v>
      </c>
      <c r="E321" s="9" t="s">
        <v>22</v>
      </c>
      <c r="F321" s="9" t="s">
        <v>2397</v>
      </c>
      <c r="G321" s="9" t="s">
        <v>25</v>
      </c>
      <c r="H321" s="9" t="s">
        <v>290</v>
      </c>
      <c r="I321" s="15" t="s">
        <v>2037</v>
      </c>
      <c r="J321" s="11">
        <v>33317</v>
      </c>
      <c r="K321" s="9" t="str">
        <f t="shared" ca="1" si="5"/>
        <v>35 tahun, 4 bulan</v>
      </c>
      <c r="L321" s="12"/>
      <c r="M321" s="12"/>
      <c r="N321" s="12"/>
      <c r="O321" s="12" t="s">
        <v>2016</v>
      </c>
    </row>
    <row r="322" spans="1:15" s="6" customFormat="1" ht="13.05" customHeight="1">
      <c r="A322" s="8">
        <v>317</v>
      </c>
      <c r="B322" s="30" t="s">
        <v>168</v>
      </c>
      <c r="C322" s="10" t="s">
        <v>2359</v>
      </c>
      <c r="D322" s="13" t="s">
        <v>167</v>
      </c>
      <c r="E322" s="9" t="s">
        <v>28</v>
      </c>
      <c r="F322" s="9" t="s">
        <v>29</v>
      </c>
      <c r="G322" s="9" t="s">
        <v>25</v>
      </c>
      <c r="H322" s="9" t="s">
        <v>15</v>
      </c>
      <c r="I322" s="15" t="s">
        <v>1825</v>
      </c>
      <c r="J322" s="11">
        <v>24393</v>
      </c>
      <c r="K322" s="9" t="str">
        <f t="shared" ca="1" si="5"/>
        <v>59 tahun, 9 bulan</v>
      </c>
      <c r="L322" s="12" t="s">
        <v>1617</v>
      </c>
      <c r="M322" s="12" t="s">
        <v>1618</v>
      </c>
      <c r="N322" s="12"/>
      <c r="O322" s="12" t="s">
        <v>1619</v>
      </c>
    </row>
    <row r="323" spans="1:15" s="6" customFormat="1" ht="13.05" customHeight="1">
      <c r="A323" s="8">
        <v>318</v>
      </c>
      <c r="B323" s="30" t="s">
        <v>195</v>
      </c>
      <c r="C323" s="10" t="s">
        <v>2355</v>
      </c>
      <c r="D323" s="13" t="s">
        <v>194</v>
      </c>
      <c r="E323" s="9" t="s">
        <v>28</v>
      </c>
      <c r="F323" s="9" t="s">
        <v>29</v>
      </c>
      <c r="G323" s="9" t="s">
        <v>25</v>
      </c>
      <c r="H323" s="9" t="s">
        <v>15</v>
      </c>
      <c r="I323" s="15" t="s">
        <v>1823</v>
      </c>
      <c r="J323" s="11">
        <v>24925</v>
      </c>
      <c r="K323" s="9" t="str">
        <f t="shared" ca="1" si="5"/>
        <v>58 tahun, 4 bulan</v>
      </c>
      <c r="L323" s="12"/>
      <c r="M323" s="12"/>
      <c r="N323" s="12"/>
      <c r="O323" s="12"/>
    </row>
    <row r="324" spans="1:15" s="6" customFormat="1" ht="13.05" customHeight="1">
      <c r="A324" s="8">
        <v>319</v>
      </c>
      <c r="B324" s="30" t="s">
        <v>201</v>
      </c>
      <c r="C324" s="10" t="s">
        <v>2434</v>
      </c>
      <c r="D324" s="13" t="s">
        <v>200</v>
      </c>
      <c r="E324" s="9" t="s">
        <v>28</v>
      </c>
      <c r="F324" s="9" t="s">
        <v>29</v>
      </c>
      <c r="G324" s="9" t="s">
        <v>25</v>
      </c>
      <c r="H324" s="9" t="s">
        <v>15</v>
      </c>
      <c r="I324" s="15" t="s">
        <v>1825</v>
      </c>
      <c r="J324" s="11">
        <v>25066</v>
      </c>
      <c r="K324" s="9" t="str">
        <f t="shared" ca="1" si="5"/>
        <v>57 tahun, 11 bulan</v>
      </c>
      <c r="L324" s="12" t="s">
        <v>1523</v>
      </c>
      <c r="M324" s="12" t="s">
        <v>1524</v>
      </c>
      <c r="N324" s="12"/>
      <c r="O324" s="12" t="s">
        <v>1525</v>
      </c>
    </row>
    <row r="325" spans="1:15" s="6" customFormat="1" ht="13.05" customHeight="1">
      <c r="A325" s="8">
        <v>320</v>
      </c>
      <c r="B325" s="30" t="s">
        <v>207</v>
      </c>
      <c r="C325" s="10" t="s">
        <v>2354</v>
      </c>
      <c r="D325" s="13" t="s">
        <v>1968</v>
      </c>
      <c r="E325" s="9" t="s">
        <v>28</v>
      </c>
      <c r="F325" s="9" t="s">
        <v>2397</v>
      </c>
      <c r="G325" s="9" t="s">
        <v>25</v>
      </c>
      <c r="H325" s="9" t="s">
        <v>15</v>
      </c>
      <c r="I325" s="15" t="s">
        <v>1825</v>
      </c>
      <c r="J325" s="11">
        <v>25210</v>
      </c>
      <c r="K325" s="9" t="str">
        <f t="shared" ca="1" si="5"/>
        <v>57 tahun, 6 bulan</v>
      </c>
      <c r="L325" s="12" t="s">
        <v>806</v>
      </c>
      <c r="M325" s="12" t="s">
        <v>807</v>
      </c>
      <c r="N325" s="12" t="s">
        <v>808</v>
      </c>
      <c r="O325" s="12" t="s">
        <v>809</v>
      </c>
    </row>
    <row r="326" spans="1:15" s="6" customFormat="1" ht="13.05" customHeight="1">
      <c r="A326" s="8">
        <v>321</v>
      </c>
      <c r="B326" s="30" t="s">
        <v>254</v>
      </c>
      <c r="C326" s="10" t="s">
        <v>2360</v>
      </c>
      <c r="D326" s="13" t="s">
        <v>253</v>
      </c>
      <c r="E326" s="9" t="s">
        <v>28</v>
      </c>
      <c r="F326" s="9" t="s">
        <v>29</v>
      </c>
      <c r="G326" s="9" t="s">
        <v>25</v>
      </c>
      <c r="H326" s="9" t="s">
        <v>15</v>
      </c>
      <c r="I326" s="15" t="s">
        <v>1926</v>
      </c>
      <c r="J326" s="11">
        <v>25939</v>
      </c>
      <c r="K326" s="9" t="str">
        <f t="shared" ca="1" si="5"/>
        <v>55 tahun, 6 bulan</v>
      </c>
      <c r="L326" s="12" t="s">
        <v>1640</v>
      </c>
      <c r="M326" s="12" t="s">
        <v>1641</v>
      </c>
      <c r="N326" s="12"/>
      <c r="O326" s="12" t="s">
        <v>1642</v>
      </c>
    </row>
    <row r="327" spans="1:15" s="6" customFormat="1" ht="13.05" customHeight="1">
      <c r="A327" s="8">
        <v>322</v>
      </c>
      <c r="B327" s="30" t="s">
        <v>265</v>
      </c>
      <c r="C327" s="10" t="s">
        <v>2114</v>
      </c>
      <c r="D327" s="13" t="s">
        <v>264</v>
      </c>
      <c r="E327" s="9" t="s">
        <v>28</v>
      </c>
      <c r="F327" s="9" t="s">
        <v>2397</v>
      </c>
      <c r="G327" s="9" t="s">
        <v>25</v>
      </c>
      <c r="H327" s="9" t="s">
        <v>15</v>
      </c>
      <c r="I327" s="15" t="s">
        <v>1825</v>
      </c>
      <c r="J327" s="11">
        <v>26084</v>
      </c>
      <c r="K327" s="9" t="str">
        <f t="shared" ca="1" si="5"/>
        <v>55 tahun, 1 bulan</v>
      </c>
      <c r="L327" s="12" t="s">
        <v>826</v>
      </c>
      <c r="M327" s="12" t="s">
        <v>827</v>
      </c>
      <c r="N327" s="12" t="s">
        <v>828</v>
      </c>
      <c r="O327" s="12" t="s">
        <v>829</v>
      </c>
    </row>
    <row r="328" spans="1:15" s="6" customFormat="1" ht="13.05" customHeight="1">
      <c r="A328" s="8">
        <v>323</v>
      </c>
      <c r="B328" s="30" t="s">
        <v>381</v>
      </c>
      <c r="C328" s="10" t="s">
        <v>2435</v>
      </c>
      <c r="D328" s="13" t="s">
        <v>380</v>
      </c>
      <c r="E328" s="9" t="s">
        <v>28</v>
      </c>
      <c r="F328" s="9" t="s">
        <v>2397</v>
      </c>
      <c r="G328" s="9" t="s">
        <v>1931</v>
      </c>
      <c r="H328" s="9" t="s">
        <v>13</v>
      </c>
      <c r="I328" s="15" t="s">
        <v>1824</v>
      </c>
      <c r="J328" s="11">
        <v>27826</v>
      </c>
      <c r="K328" s="9" t="str">
        <f t="shared" ca="1" si="5"/>
        <v>50 tahun, 4 bulan</v>
      </c>
      <c r="L328" s="12"/>
      <c r="M328" s="12"/>
      <c r="N328" s="12"/>
      <c r="O328" s="12" t="s">
        <v>1204</v>
      </c>
    </row>
    <row r="329" spans="1:15" s="6" customFormat="1" ht="13.05" customHeight="1">
      <c r="A329" s="8">
        <v>324</v>
      </c>
      <c r="B329" s="30" t="s">
        <v>385</v>
      </c>
      <c r="C329" s="10" t="s">
        <v>2358</v>
      </c>
      <c r="D329" s="13" t="s">
        <v>384</v>
      </c>
      <c r="E329" s="9" t="s">
        <v>28</v>
      </c>
      <c r="F329" s="9" t="s">
        <v>29</v>
      </c>
      <c r="G329" s="9" t="s">
        <v>25</v>
      </c>
      <c r="H329" s="9" t="s">
        <v>13</v>
      </c>
      <c r="I329" s="15" t="s">
        <v>1825</v>
      </c>
      <c r="J329" s="11">
        <v>27877</v>
      </c>
      <c r="K329" s="9" t="str">
        <f t="shared" ca="1" si="5"/>
        <v>50 tahun, 3 bulan</v>
      </c>
      <c r="L329" s="12" t="s">
        <v>1784</v>
      </c>
      <c r="M329" s="12" t="s">
        <v>1785</v>
      </c>
      <c r="N329" s="12"/>
      <c r="O329" s="12" t="s">
        <v>1786</v>
      </c>
    </row>
    <row r="330" spans="1:15" s="6" customFormat="1" ht="13.05" customHeight="1">
      <c r="A330" s="8">
        <v>325</v>
      </c>
      <c r="B330" s="30" t="s">
        <v>497</v>
      </c>
      <c r="C330" s="10" t="s">
        <v>2361</v>
      </c>
      <c r="D330" s="13" t="s">
        <v>496</v>
      </c>
      <c r="E330" s="9" t="s">
        <v>28</v>
      </c>
      <c r="F330" s="9" t="s">
        <v>29</v>
      </c>
      <c r="G330" s="9" t="s">
        <v>25</v>
      </c>
      <c r="H330" s="9" t="s">
        <v>13</v>
      </c>
      <c r="I330" s="15" t="s">
        <v>1824</v>
      </c>
      <c r="J330" s="11">
        <v>29240</v>
      </c>
      <c r="K330" s="9" t="str">
        <f t="shared" ca="1" si="5"/>
        <v>46 tahun, 6 bulan</v>
      </c>
      <c r="L330" s="12" t="s">
        <v>1697</v>
      </c>
      <c r="M330" s="12" t="s">
        <v>1698</v>
      </c>
      <c r="N330" s="12"/>
      <c r="O330" s="12" t="s">
        <v>1609</v>
      </c>
    </row>
    <row r="331" spans="1:15" s="6" customFormat="1" ht="13.05" customHeight="1">
      <c r="A331" s="8">
        <v>326</v>
      </c>
      <c r="B331" s="31" t="s">
        <v>701</v>
      </c>
      <c r="C331" s="10" t="s">
        <v>2116</v>
      </c>
      <c r="D331" s="13" t="s">
        <v>506</v>
      </c>
      <c r="E331" s="9" t="s">
        <v>28</v>
      </c>
      <c r="F331" s="9" t="s">
        <v>29</v>
      </c>
      <c r="G331" s="9" t="s">
        <v>25</v>
      </c>
      <c r="H331" s="9" t="s">
        <v>15</v>
      </c>
      <c r="I331" s="15" t="s">
        <v>1825</v>
      </c>
      <c r="J331" s="11">
        <v>29368</v>
      </c>
      <c r="K331" s="9" t="str">
        <f t="shared" ca="1" si="5"/>
        <v>46 tahun, 2 bulan</v>
      </c>
      <c r="L331" s="12" t="s">
        <v>1600</v>
      </c>
      <c r="M331" s="12" t="s">
        <v>1601</v>
      </c>
      <c r="N331" s="12"/>
      <c r="O331" s="12" t="s">
        <v>1602</v>
      </c>
    </row>
    <row r="332" spans="1:15" s="6" customFormat="1" ht="13.05" customHeight="1">
      <c r="A332" s="8">
        <v>327</v>
      </c>
      <c r="B332" s="30" t="s">
        <v>512</v>
      </c>
      <c r="C332" s="41" t="s">
        <v>2620</v>
      </c>
      <c r="D332" s="13" t="s">
        <v>511</v>
      </c>
      <c r="E332" s="9" t="s">
        <v>28</v>
      </c>
      <c r="F332" s="9" t="s">
        <v>29</v>
      </c>
      <c r="G332" s="9" t="s">
        <v>25</v>
      </c>
      <c r="H332" s="9" t="s">
        <v>13</v>
      </c>
      <c r="I332" s="15" t="s">
        <v>1825</v>
      </c>
      <c r="J332" s="11">
        <v>29408</v>
      </c>
      <c r="K332" s="9" t="str">
        <f t="shared" ca="1" si="5"/>
        <v>46 tahun, 0 bulan</v>
      </c>
      <c r="L332" s="12"/>
      <c r="M332" s="12" t="s">
        <v>1805</v>
      </c>
      <c r="N332" s="12"/>
      <c r="O332" s="12"/>
    </row>
    <row r="333" spans="1:15" s="6" customFormat="1" ht="13.05" customHeight="1">
      <c r="A333" s="8">
        <v>328</v>
      </c>
      <c r="B333" s="31" t="s">
        <v>547</v>
      </c>
      <c r="C333" s="10" t="s">
        <v>2148</v>
      </c>
      <c r="D333" s="13" t="s">
        <v>1265</v>
      </c>
      <c r="E333" s="9" t="s">
        <v>28</v>
      </c>
      <c r="F333" s="9" t="s">
        <v>2397</v>
      </c>
      <c r="G333" s="9" t="s">
        <v>25</v>
      </c>
      <c r="H333" s="9" t="s">
        <v>290</v>
      </c>
      <c r="I333" s="15" t="s">
        <v>1824</v>
      </c>
      <c r="J333" s="11">
        <v>29999</v>
      </c>
      <c r="K333" s="9" t="str">
        <f t="shared" ca="1" si="5"/>
        <v>44 tahun, 5 bulan</v>
      </c>
      <c r="L333" s="12" t="s">
        <v>1266</v>
      </c>
      <c r="M333" s="12" t="s">
        <v>1267</v>
      </c>
      <c r="N333" s="12" t="s">
        <v>1268</v>
      </c>
      <c r="O333" s="12" t="s">
        <v>1269</v>
      </c>
    </row>
    <row r="334" spans="1:15" s="6" customFormat="1" ht="13.05" customHeight="1">
      <c r="A334" s="8">
        <v>329</v>
      </c>
      <c r="B334" s="30" t="s">
        <v>550</v>
      </c>
      <c r="C334" s="10" t="s">
        <v>2357</v>
      </c>
      <c r="D334" s="13" t="s">
        <v>549</v>
      </c>
      <c r="E334" s="9" t="s">
        <v>28</v>
      </c>
      <c r="F334" s="9" t="s">
        <v>29</v>
      </c>
      <c r="G334" s="9" t="s">
        <v>25</v>
      </c>
      <c r="H334" s="9" t="s">
        <v>13</v>
      </c>
      <c r="I334" s="15"/>
      <c r="J334" s="11">
        <v>30079</v>
      </c>
      <c r="K334" s="9" t="str">
        <f t="shared" ca="1" si="5"/>
        <v>44 tahun, 2 bulan</v>
      </c>
      <c r="L334" s="12"/>
      <c r="M334" s="12"/>
      <c r="N334" s="12"/>
      <c r="O334" s="12" t="s">
        <v>1350</v>
      </c>
    </row>
    <row r="335" spans="1:15" s="6" customFormat="1" ht="13.05" customHeight="1">
      <c r="A335" s="8">
        <v>330</v>
      </c>
      <c r="B335" s="30" t="s">
        <v>592</v>
      </c>
      <c r="C335" s="10" t="s">
        <v>2356</v>
      </c>
      <c r="D335" s="13" t="s">
        <v>591</v>
      </c>
      <c r="E335" s="9" t="s">
        <v>28</v>
      </c>
      <c r="F335" s="9" t="s">
        <v>29</v>
      </c>
      <c r="G335" s="9" t="s">
        <v>25</v>
      </c>
      <c r="H335" s="9" t="s">
        <v>13</v>
      </c>
      <c r="I335" s="15" t="s">
        <v>1825</v>
      </c>
      <c r="J335" s="11">
        <v>31074</v>
      </c>
      <c r="K335" s="9" t="str">
        <f t="shared" ca="1" si="5"/>
        <v>41 tahun, 6 bulan</v>
      </c>
      <c r="L335" s="12" t="s">
        <v>1606</v>
      </c>
      <c r="M335" s="12" t="s">
        <v>1607</v>
      </c>
      <c r="N335" s="12"/>
      <c r="O335" s="12" t="s">
        <v>1608</v>
      </c>
    </row>
    <row r="336" spans="1:15" s="6" customFormat="1" ht="13.05" customHeight="1">
      <c r="A336" s="8">
        <v>331</v>
      </c>
      <c r="B336" s="30" t="s">
        <v>598</v>
      </c>
      <c r="C336" s="10" t="s">
        <v>2117</v>
      </c>
      <c r="D336" s="13" t="s">
        <v>597</v>
      </c>
      <c r="E336" s="9" t="s">
        <v>28</v>
      </c>
      <c r="F336" s="9" t="s">
        <v>2397</v>
      </c>
      <c r="G336" s="9" t="s">
        <v>1931</v>
      </c>
      <c r="H336" s="9" t="s">
        <v>290</v>
      </c>
      <c r="I336" s="15" t="s">
        <v>1867</v>
      </c>
      <c r="J336" s="11">
        <v>31153</v>
      </c>
      <c r="K336" s="9" t="str">
        <f t="shared" ca="1" si="5"/>
        <v>41 tahun, 3 bulan</v>
      </c>
      <c r="L336" s="12" t="s">
        <v>1295</v>
      </c>
      <c r="M336" s="12" t="s">
        <v>1296</v>
      </c>
      <c r="N336" s="12" t="s">
        <v>1297</v>
      </c>
      <c r="O336" s="12" t="s">
        <v>1298</v>
      </c>
    </row>
    <row r="337" spans="1:15" s="6" customFormat="1" ht="13.05" customHeight="1">
      <c r="A337" s="8">
        <v>332</v>
      </c>
      <c r="B337" s="31" t="s">
        <v>602</v>
      </c>
      <c r="C337" s="10" t="s">
        <v>2115</v>
      </c>
      <c r="D337" s="13" t="s">
        <v>601</v>
      </c>
      <c r="E337" s="9" t="s">
        <v>28</v>
      </c>
      <c r="F337" s="9" t="s">
        <v>29</v>
      </c>
      <c r="G337" s="9" t="s">
        <v>25</v>
      </c>
      <c r="H337" s="9" t="s">
        <v>13</v>
      </c>
      <c r="I337" s="15" t="s">
        <v>1825</v>
      </c>
      <c r="J337" s="11">
        <v>31175</v>
      </c>
      <c r="K337" s="9" t="str">
        <f t="shared" ca="1" si="5"/>
        <v>41 tahun, 2 bulan</v>
      </c>
      <c r="L337" s="12" t="s">
        <v>1712</v>
      </c>
      <c r="M337" s="12" t="s">
        <v>1713</v>
      </c>
      <c r="N337" s="12"/>
      <c r="O337" s="12" t="s">
        <v>1714</v>
      </c>
    </row>
    <row r="338" spans="1:15" s="6" customFormat="1" ht="13.05" customHeight="1">
      <c r="A338" s="8">
        <v>333</v>
      </c>
      <c r="B338" s="30" t="s">
        <v>608</v>
      </c>
      <c r="C338" s="10" t="s">
        <v>2200</v>
      </c>
      <c r="D338" s="13" t="s">
        <v>607</v>
      </c>
      <c r="E338" s="9" t="s">
        <v>28</v>
      </c>
      <c r="F338" s="9" t="s">
        <v>2397</v>
      </c>
      <c r="G338" s="9" t="s">
        <v>25</v>
      </c>
      <c r="H338" s="9" t="s">
        <v>290</v>
      </c>
      <c r="I338" s="15" t="s">
        <v>1840</v>
      </c>
      <c r="J338" s="11">
        <v>31262</v>
      </c>
      <c r="K338" s="9" t="str">
        <f t="shared" ca="1" si="5"/>
        <v>40 tahun, 11 bulan</v>
      </c>
      <c r="L338" s="12" t="s">
        <v>1299</v>
      </c>
      <c r="M338" s="12" t="s">
        <v>1300</v>
      </c>
      <c r="N338" s="12"/>
      <c r="O338" s="12" t="s">
        <v>1301</v>
      </c>
    </row>
    <row r="339" spans="1:15" s="6" customFormat="1" ht="13.05" customHeight="1">
      <c r="A339" s="8">
        <v>334</v>
      </c>
      <c r="B339" s="30" t="s">
        <v>634</v>
      </c>
      <c r="C339" s="10" t="s">
        <v>2177</v>
      </c>
      <c r="D339" s="13" t="s">
        <v>633</v>
      </c>
      <c r="E339" s="9" t="s">
        <v>28</v>
      </c>
      <c r="F339" s="9" t="s">
        <v>29</v>
      </c>
      <c r="G339" s="9" t="s">
        <v>25</v>
      </c>
      <c r="H339" s="9" t="s">
        <v>13</v>
      </c>
      <c r="I339" s="15" t="s">
        <v>1825</v>
      </c>
      <c r="J339" s="11">
        <v>31700</v>
      </c>
      <c r="K339" s="9" t="str">
        <f t="shared" ca="1" si="5"/>
        <v>39 tahun, 9 bulan</v>
      </c>
      <c r="L339" s="12" t="s">
        <v>1818</v>
      </c>
      <c r="M339" s="12" t="s">
        <v>1819</v>
      </c>
      <c r="N339" s="12" t="s">
        <v>1820</v>
      </c>
      <c r="O339" s="12" t="s">
        <v>1821</v>
      </c>
    </row>
    <row r="340" spans="1:15" s="6" customFormat="1" ht="13.05" customHeight="1">
      <c r="A340" s="8">
        <v>335</v>
      </c>
      <c r="B340" s="30" t="s">
        <v>2449</v>
      </c>
      <c r="C340" s="10" t="s">
        <v>2049</v>
      </c>
      <c r="D340" s="13" t="s">
        <v>2450</v>
      </c>
      <c r="E340" s="9" t="s">
        <v>28</v>
      </c>
      <c r="F340" s="9"/>
      <c r="G340" s="9"/>
      <c r="H340" s="9"/>
      <c r="I340" s="15"/>
      <c r="J340" s="11"/>
      <c r="K340" s="9"/>
      <c r="L340" s="12"/>
      <c r="M340" s="12"/>
      <c r="N340" s="12"/>
      <c r="O340" s="12"/>
    </row>
    <row r="341" spans="1:15" s="6" customFormat="1" ht="13.05" customHeight="1">
      <c r="A341" s="8">
        <v>336</v>
      </c>
      <c r="B341" s="36" t="s">
        <v>69</v>
      </c>
      <c r="C341" s="37" t="s">
        <v>2309</v>
      </c>
      <c r="D341" s="38" t="s">
        <v>68</v>
      </c>
      <c r="E341" s="32" t="s">
        <v>40</v>
      </c>
      <c r="F341" s="32" t="s">
        <v>29</v>
      </c>
      <c r="G341" s="32" t="s">
        <v>25</v>
      </c>
      <c r="H341" s="32" t="s">
        <v>15</v>
      </c>
      <c r="I341" s="33" t="s">
        <v>1851</v>
      </c>
      <c r="J341" s="39">
        <v>22586</v>
      </c>
      <c r="K341" s="32" t="str">
        <f t="shared" ca="1" si="5"/>
        <v>64 tahun, 8 bulan</v>
      </c>
      <c r="L341" s="40" t="s">
        <v>1436</v>
      </c>
      <c r="M341" s="40" t="s">
        <v>1437</v>
      </c>
      <c r="N341" s="40"/>
      <c r="O341" s="40"/>
    </row>
    <row r="342" spans="1:15" s="6" customFormat="1" ht="13.05" customHeight="1">
      <c r="A342" s="8">
        <v>337</v>
      </c>
      <c r="B342" s="30" t="s">
        <v>148</v>
      </c>
      <c r="C342" s="10" t="s">
        <v>2307</v>
      </c>
      <c r="D342" s="13" t="s">
        <v>147</v>
      </c>
      <c r="E342" s="9" t="s">
        <v>40</v>
      </c>
      <c r="F342" s="9" t="s">
        <v>29</v>
      </c>
      <c r="G342" s="9" t="s">
        <v>25</v>
      </c>
      <c r="H342" s="9" t="s">
        <v>15</v>
      </c>
      <c r="I342" s="15" t="s">
        <v>1837</v>
      </c>
      <c r="J342" s="11">
        <v>24253</v>
      </c>
      <c r="K342" s="9" t="str">
        <f t="shared" ca="1" si="5"/>
        <v>60 tahun, 2 bulan</v>
      </c>
      <c r="L342" s="12" t="s">
        <v>1497</v>
      </c>
      <c r="M342" s="12" t="s">
        <v>1498</v>
      </c>
      <c r="N342" s="12" t="s">
        <v>1499</v>
      </c>
      <c r="O342" s="12" t="s">
        <v>1500</v>
      </c>
    </row>
    <row r="343" spans="1:15" s="6" customFormat="1" ht="13.05" customHeight="1">
      <c r="A343" s="8">
        <v>338</v>
      </c>
      <c r="B343" s="30" t="s">
        <v>161</v>
      </c>
      <c r="C343" s="41" t="s">
        <v>2630</v>
      </c>
      <c r="D343" s="13" t="s">
        <v>160</v>
      </c>
      <c r="E343" s="9" t="s">
        <v>40</v>
      </c>
      <c r="F343" s="9" t="s">
        <v>29</v>
      </c>
      <c r="G343" s="9" t="s">
        <v>25</v>
      </c>
      <c r="H343" s="9" t="s">
        <v>15</v>
      </c>
      <c r="I343" s="15" t="s">
        <v>1846</v>
      </c>
      <c r="J343" s="11">
        <v>24330</v>
      </c>
      <c r="K343" s="9" t="str">
        <f t="shared" ca="1" si="5"/>
        <v>59 tahun, 11 bulan</v>
      </c>
      <c r="L343" s="12" t="s">
        <v>1738</v>
      </c>
      <c r="M343" s="12" t="s">
        <v>1739</v>
      </c>
      <c r="N343" s="12"/>
      <c r="O343" s="12"/>
    </row>
    <row r="344" spans="1:15" s="6" customFormat="1" ht="13.05" customHeight="1">
      <c r="A344" s="8">
        <v>339</v>
      </c>
      <c r="B344" s="30" t="s">
        <v>170</v>
      </c>
      <c r="C344" s="10" t="s">
        <v>2308</v>
      </c>
      <c r="D344" s="13" t="s">
        <v>169</v>
      </c>
      <c r="E344" s="9" t="s">
        <v>40</v>
      </c>
      <c r="F344" s="9" t="s">
        <v>29</v>
      </c>
      <c r="G344" s="9" t="s">
        <v>25</v>
      </c>
      <c r="H344" s="9" t="s">
        <v>13</v>
      </c>
      <c r="I344" s="15" t="s">
        <v>1825</v>
      </c>
      <c r="J344" s="11">
        <v>24398</v>
      </c>
      <c r="K344" s="9" t="str">
        <f t="shared" ca="1" si="5"/>
        <v>59 tahun, 9 bulan</v>
      </c>
      <c r="L344" s="12" t="s">
        <v>1740</v>
      </c>
      <c r="M344" s="12" t="s">
        <v>1741</v>
      </c>
      <c r="N344" s="12" t="s">
        <v>1742</v>
      </c>
      <c r="O344" s="12"/>
    </row>
    <row r="345" spans="1:15" s="6" customFormat="1" ht="13.05" customHeight="1">
      <c r="A345" s="8">
        <v>340</v>
      </c>
      <c r="B345" s="30" t="s">
        <v>179</v>
      </c>
      <c r="C345" s="10" t="s">
        <v>2310</v>
      </c>
      <c r="D345" s="13" t="s">
        <v>178</v>
      </c>
      <c r="E345" s="9" t="s">
        <v>40</v>
      </c>
      <c r="F345" s="9" t="s">
        <v>29</v>
      </c>
      <c r="G345" s="9" t="s">
        <v>25</v>
      </c>
      <c r="H345" s="9" t="s">
        <v>13</v>
      </c>
      <c r="I345" s="15" t="s">
        <v>1914</v>
      </c>
      <c r="J345" s="11">
        <v>24589</v>
      </c>
      <c r="K345" s="9" t="str">
        <f t="shared" ca="1" si="5"/>
        <v>59 tahun, 3 bulan</v>
      </c>
      <c r="L345" s="12" t="s">
        <v>1620</v>
      </c>
      <c r="M345" s="12" t="s">
        <v>1621</v>
      </c>
      <c r="N345" s="12"/>
      <c r="O345" s="12"/>
    </row>
    <row r="346" spans="1:15" s="6" customFormat="1" ht="13.05" customHeight="1">
      <c r="A346" s="8">
        <v>341</v>
      </c>
      <c r="B346" s="30" t="s">
        <v>193</v>
      </c>
      <c r="C346" s="10" t="s">
        <v>2304</v>
      </c>
      <c r="D346" s="13" t="s">
        <v>2043</v>
      </c>
      <c r="E346" s="9" t="s">
        <v>40</v>
      </c>
      <c r="F346" s="9" t="s">
        <v>2397</v>
      </c>
      <c r="G346" s="9" t="s">
        <v>25</v>
      </c>
      <c r="H346" s="9" t="s">
        <v>13</v>
      </c>
      <c r="I346" s="15" t="s">
        <v>1899</v>
      </c>
      <c r="J346" s="11">
        <v>24886</v>
      </c>
      <c r="K346" s="9" t="str">
        <f t="shared" ca="1" si="5"/>
        <v>58 tahun, 5 bulan</v>
      </c>
      <c r="L346" s="12" t="s">
        <v>802</v>
      </c>
      <c r="M346" s="12" t="s">
        <v>803</v>
      </c>
      <c r="N346" s="12" t="s">
        <v>804</v>
      </c>
      <c r="O346" s="12" t="s">
        <v>805</v>
      </c>
    </row>
    <row r="347" spans="1:15" s="6" customFormat="1" ht="13.05" customHeight="1">
      <c r="A347" s="8">
        <v>342</v>
      </c>
      <c r="B347" s="30" t="s">
        <v>292</v>
      </c>
      <c r="C347" s="10" t="s">
        <v>2181</v>
      </c>
      <c r="D347" s="13" t="s">
        <v>1768</v>
      </c>
      <c r="E347" s="9" t="s">
        <v>40</v>
      </c>
      <c r="F347" s="9" t="s">
        <v>29</v>
      </c>
      <c r="G347" s="9" t="s">
        <v>25</v>
      </c>
      <c r="H347" s="9" t="s">
        <v>15</v>
      </c>
      <c r="I347" s="15" t="s">
        <v>1825</v>
      </c>
      <c r="J347" s="11">
        <v>26484</v>
      </c>
      <c r="K347" s="9" t="str">
        <f t="shared" ca="1" si="5"/>
        <v>54 tahun, 0 bulan</v>
      </c>
      <c r="L347" s="12"/>
      <c r="M347" s="12"/>
      <c r="N347" s="12"/>
      <c r="O347" s="12"/>
    </row>
    <row r="348" spans="1:15" s="6" customFormat="1" ht="13.05" customHeight="1">
      <c r="A348" s="8">
        <v>343</v>
      </c>
      <c r="B348" s="30" t="s">
        <v>416</v>
      </c>
      <c r="C348" s="10" t="s">
        <v>2306</v>
      </c>
      <c r="D348" s="13" t="s">
        <v>2002</v>
      </c>
      <c r="E348" s="9" t="s">
        <v>40</v>
      </c>
      <c r="F348" s="9" t="s">
        <v>2397</v>
      </c>
      <c r="G348" s="9" t="s">
        <v>25</v>
      </c>
      <c r="H348" s="9" t="s">
        <v>13</v>
      </c>
      <c r="I348" s="15" t="s">
        <v>1825</v>
      </c>
      <c r="J348" s="11">
        <v>28421</v>
      </c>
      <c r="K348" s="9" t="str">
        <f t="shared" ca="1" si="5"/>
        <v>48 tahun, 9 bulan</v>
      </c>
      <c r="L348" s="12" t="s">
        <v>1075</v>
      </c>
      <c r="M348" s="12" t="s">
        <v>1076</v>
      </c>
      <c r="N348" s="12" t="s">
        <v>1077</v>
      </c>
      <c r="O348" s="12" t="s">
        <v>1078</v>
      </c>
    </row>
    <row r="349" spans="1:15" s="6" customFormat="1" ht="13.05" customHeight="1">
      <c r="A349" s="8">
        <v>344</v>
      </c>
      <c r="B349" s="30" t="s">
        <v>461</v>
      </c>
      <c r="C349" s="10" t="s">
        <v>2305</v>
      </c>
      <c r="D349" s="13" t="s">
        <v>460</v>
      </c>
      <c r="E349" s="9" t="s">
        <v>40</v>
      </c>
      <c r="F349" s="9" t="s">
        <v>2397</v>
      </c>
      <c r="G349" s="9" t="s">
        <v>25</v>
      </c>
      <c r="H349" s="9" t="s">
        <v>13</v>
      </c>
      <c r="I349" s="15" t="s">
        <v>1824</v>
      </c>
      <c r="J349" s="11">
        <v>28856</v>
      </c>
      <c r="K349" s="9" t="str">
        <f t="shared" ca="1" si="5"/>
        <v>47 tahun, 6 bulan</v>
      </c>
      <c r="L349" s="12" t="s">
        <v>1226</v>
      </c>
      <c r="M349" s="12" t="s">
        <v>1227</v>
      </c>
      <c r="N349" s="12"/>
      <c r="O349" s="12" t="s">
        <v>1228</v>
      </c>
    </row>
    <row r="350" spans="1:15" s="6" customFormat="1" ht="13.05" customHeight="1">
      <c r="A350" s="8">
        <v>345</v>
      </c>
      <c r="B350" s="30" t="s">
        <v>1866</v>
      </c>
      <c r="C350" s="10" t="s">
        <v>2105</v>
      </c>
      <c r="D350" s="13" t="s">
        <v>500</v>
      </c>
      <c r="E350" s="9" t="s">
        <v>40</v>
      </c>
      <c r="F350" s="9" t="s">
        <v>29</v>
      </c>
      <c r="G350" s="9"/>
      <c r="H350" s="9" t="s">
        <v>15</v>
      </c>
      <c r="I350" s="15" t="s">
        <v>1825</v>
      </c>
      <c r="J350" s="11">
        <v>29255</v>
      </c>
      <c r="K350" s="9" t="str">
        <f t="shared" ca="1" si="5"/>
        <v>46 tahun, 5 bulan</v>
      </c>
      <c r="L350" s="12"/>
      <c r="M350" s="12"/>
      <c r="N350" s="12"/>
      <c r="O350" s="12"/>
    </row>
    <row r="351" spans="1:15" s="6" customFormat="1" ht="13.05" customHeight="1">
      <c r="A351" s="8">
        <v>346</v>
      </c>
      <c r="B351" s="30" t="s">
        <v>1853</v>
      </c>
      <c r="C351" s="10" t="s">
        <v>2090</v>
      </c>
      <c r="D351" s="13" t="s">
        <v>447</v>
      </c>
      <c r="E351" s="9" t="s">
        <v>20</v>
      </c>
      <c r="F351" s="9" t="s">
        <v>29</v>
      </c>
      <c r="G351" s="9" t="s">
        <v>25</v>
      </c>
      <c r="H351" s="9" t="s">
        <v>15</v>
      </c>
      <c r="I351" s="15" t="s">
        <v>1846</v>
      </c>
      <c r="J351" s="11">
        <v>28750</v>
      </c>
      <c r="K351" s="9" t="str">
        <f t="shared" ca="1" si="5"/>
        <v>47 tahun, 10 bulan</v>
      </c>
      <c r="L351" s="12" t="s">
        <v>1597</v>
      </c>
      <c r="M351" s="12" t="s">
        <v>1598</v>
      </c>
      <c r="N351" s="12"/>
      <c r="O351" s="12" t="s">
        <v>1599</v>
      </c>
    </row>
    <row r="352" spans="1:15" s="6" customFormat="1" ht="13.05" customHeight="1">
      <c r="A352" s="8">
        <v>347</v>
      </c>
      <c r="B352" s="31" t="s">
        <v>73</v>
      </c>
      <c r="C352" s="41" t="s">
        <v>2378</v>
      </c>
      <c r="D352" s="13" t="s">
        <v>72</v>
      </c>
      <c r="E352" s="9" t="s">
        <v>20</v>
      </c>
      <c r="F352" s="9" t="s">
        <v>29</v>
      </c>
      <c r="G352" s="9" t="s">
        <v>25</v>
      </c>
      <c r="H352" s="9" t="s">
        <v>15</v>
      </c>
      <c r="I352" s="15" t="s">
        <v>1825</v>
      </c>
      <c r="J352" s="11">
        <v>22616</v>
      </c>
      <c r="K352" s="9" t="str">
        <f t="shared" ca="1" si="5"/>
        <v>64 tahun, 7 bulan</v>
      </c>
      <c r="L352" s="12" t="s">
        <v>1425</v>
      </c>
      <c r="M352" s="12" t="s">
        <v>1426</v>
      </c>
      <c r="N352" s="12"/>
      <c r="O352" s="12" t="s">
        <v>1427</v>
      </c>
    </row>
    <row r="353" spans="1:15" s="6" customFormat="1" ht="13.05" customHeight="1">
      <c r="A353" s="8">
        <v>348</v>
      </c>
      <c r="B353" s="30" t="s">
        <v>88</v>
      </c>
      <c r="C353" s="10" t="s">
        <v>2374</v>
      </c>
      <c r="D353" s="13" t="s">
        <v>87</v>
      </c>
      <c r="E353" s="9" t="s">
        <v>20</v>
      </c>
      <c r="F353" s="9" t="s">
        <v>2397</v>
      </c>
      <c r="G353" s="9" t="s">
        <v>25</v>
      </c>
      <c r="H353" s="9" t="s">
        <v>15</v>
      </c>
      <c r="I353" s="15" t="s">
        <v>1824</v>
      </c>
      <c r="J353" s="11">
        <v>22914</v>
      </c>
      <c r="K353" s="9" t="str">
        <f t="shared" ca="1" si="5"/>
        <v>63 tahun, 10 bulan</v>
      </c>
      <c r="L353" s="12" t="s">
        <v>752</v>
      </c>
      <c r="M353" s="12" t="s">
        <v>753</v>
      </c>
      <c r="N353" s="12" t="s">
        <v>754</v>
      </c>
      <c r="O353" s="12" t="s">
        <v>755</v>
      </c>
    </row>
    <row r="354" spans="1:15" s="6" customFormat="1" ht="13.05" customHeight="1">
      <c r="A354" s="8">
        <v>349</v>
      </c>
      <c r="B354" s="30" t="s">
        <v>91</v>
      </c>
      <c r="C354" s="10" t="s">
        <v>2252</v>
      </c>
      <c r="D354" s="13" t="s">
        <v>90</v>
      </c>
      <c r="E354" s="9" t="s">
        <v>20</v>
      </c>
      <c r="F354" s="9" t="s">
        <v>29</v>
      </c>
      <c r="G354" s="9" t="s">
        <v>25</v>
      </c>
      <c r="H354" s="9" t="s">
        <v>15</v>
      </c>
      <c r="I354" s="15" t="s">
        <v>1911</v>
      </c>
      <c r="J354" s="11">
        <v>22968</v>
      </c>
      <c r="K354" s="9" t="str">
        <f t="shared" ca="1" si="5"/>
        <v>63 tahun, 8 bulan</v>
      </c>
      <c r="L354" s="12" t="s">
        <v>1448</v>
      </c>
      <c r="M354" s="12" t="s">
        <v>1449</v>
      </c>
      <c r="N354" s="12" t="s">
        <v>1450</v>
      </c>
      <c r="O354" s="12" t="s">
        <v>1451</v>
      </c>
    </row>
    <row r="355" spans="1:15" s="6" customFormat="1" ht="13.05" customHeight="1">
      <c r="A355" s="8">
        <v>350</v>
      </c>
      <c r="B355" s="30" t="s">
        <v>119</v>
      </c>
      <c r="C355" s="10" t="s">
        <v>2436</v>
      </c>
      <c r="D355" s="13" t="s">
        <v>118</v>
      </c>
      <c r="E355" s="9" t="s">
        <v>20</v>
      </c>
      <c r="F355" s="9" t="s">
        <v>29</v>
      </c>
      <c r="G355" s="9" t="s">
        <v>25</v>
      </c>
      <c r="H355" s="9" t="s">
        <v>15</v>
      </c>
      <c r="I355" s="15" t="s">
        <v>1825</v>
      </c>
      <c r="J355" s="11">
        <v>23392</v>
      </c>
      <c r="K355" s="9" t="str">
        <f t="shared" ca="1" si="5"/>
        <v>62 tahun, 6 bulan</v>
      </c>
      <c r="L355" s="12" t="s">
        <v>1474</v>
      </c>
      <c r="M355" s="12" t="s">
        <v>1475</v>
      </c>
      <c r="N355" s="12" t="s">
        <v>1476</v>
      </c>
      <c r="O355" s="12" t="s">
        <v>1477</v>
      </c>
    </row>
    <row r="356" spans="1:15" s="6" customFormat="1" ht="13.05" customHeight="1">
      <c r="A356" s="8">
        <v>351</v>
      </c>
      <c r="B356" s="30" t="s">
        <v>133</v>
      </c>
      <c r="C356" s="10" t="s">
        <v>2376</v>
      </c>
      <c r="D356" s="13" t="s">
        <v>2437</v>
      </c>
      <c r="E356" s="9" t="s">
        <v>20</v>
      </c>
      <c r="F356" s="9" t="s">
        <v>29</v>
      </c>
      <c r="G356" s="9" t="s">
        <v>25</v>
      </c>
      <c r="H356" s="9" t="s">
        <v>15</v>
      </c>
      <c r="I356" s="15" t="s">
        <v>1892</v>
      </c>
      <c r="J356" s="11">
        <v>23881</v>
      </c>
      <c r="K356" s="9" t="str">
        <f t="shared" ca="1" si="5"/>
        <v>61 tahun, 2 bulan</v>
      </c>
      <c r="L356" s="12" t="s">
        <v>1482</v>
      </c>
      <c r="M356" s="12" t="s">
        <v>1483</v>
      </c>
      <c r="N356" s="12" t="s">
        <v>1484</v>
      </c>
      <c r="O356" s="12" t="s">
        <v>1485</v>
      </c>
    </row>
    <row r="357" spans="1:15" s="6" customFormat="1" ht="13.05" customHeight="1">
      <c r="A357" s="8">
        <v>352</v>
      </c>
      <c r="B357" s="30" t="s">
        <v>138</v>
      </c>
      <c r="C357" s="10" t="s">
        <v>2373</v>
      </c>
      <c r="D357" s="13" t="s">
        <v>137</v>
      </c>
      <c r="E357" s="9" t="s">
        <v>20</v>
      </c>
      <c r="F357" s="9" t="s">
        <v>29</v>
      </c>
      <c r="G357" s="9" t="s">
        <v>25</v>
      </c>
      <c r="H357" s="9" t="s">
        <v>15</v>
      </c>
      <c r="I357" s="15" t="s">
        <v>1837</v>
      </c>
      <c r="J357" s="11">
        <v>23961</v>
      </c>
      <c r="K357" s="9" t="str">
        <f t="shared" ca="1" si="5"/>
        <v>60 tahun, 11 bulan</v>
      </c>
      <c r="L357" s="12" t="s">
        <v>1421</v>
      </c>
      <c r="M357" s="12" t="s">
        <v>1422</v>
      </c>
      <c r="N357" s="12" t="s">
        <v>1423</v>
      </c>
      <c r="O357" s="12" t="s">
        <v>1424</v>
      </c>
    </row>
    <row r="358" spans="1:15" s="6" customFormat="1" ht="13.05" customHeight="1">
      <c r="A358" s="8">
        <v>353</v>
      </c>
      <c r="B358" s="30" t="s">
        <v>154</v>
      </c>
      <c r="C358" s="10" t="s">
        <v>2255</v>
      </c>
      <c r="D358" s="13" t="s">
        <v>153</v>
      </c>
      <c r="E358" s="9" t="s">
        <v>20</v>
      </c>
      <c r="F358" s="9" t="s">
        <v>29</v>
      </c>
      <c r="G358" s="9" t="s">
        <v>25</v>
      </c>
      <c r="H358" s="9" t="s">
        <v>15</v>
      </c>
      <c r="I358" s="15" t="s">
        <v>1825</v>
      </c>
      <c r="J358" s="11">
        <v>24304</v>
      </c>
      <c r="K358" s="9" t="str">
        <f t="shared" ca="1" si="5"/>
        <v>60 tahun, 0 bulan</v>
      </c>
      <c r="L358" s="12" t="s">
        <v>1504</v>
      </c>
      <c r="M358" s="12" t="s">
        <v>1505</v>
      </c>
      <c r="N358" s="12"/>
      <c r="O358" s="12" t="s">
        <v>1506</v>
      </c>
    </row>
    <row r="359" spans="1:15" s="6" customFormat="1" ht="13.05" customHeight="1">
      <c r="A359" s="8">
        <v>354</v>
      </c>
      <c r="B359" s="31" t="s">
        <v>166</v>
      </c>
      <c r="C359" s="10" t="s">
        <v>2256</v>
      </c>
      <c r="D359" s="13" t="s">
        <v>2438</v>
      </c>
      <c r="E359" s="9" t="s">
        <v>20</v>
      </c>
      <c r="F359" s="9" t="s">
        <v>29</v>
      </c>
      <c r="G359" s="9" t="s">
        <v>25</v>
      </c>
      <c r="H359" s="9" t="s">
        <v>15</v>
      </c>
      <c r="I359" s="15" t="s">
        <v>1825</v>
      </c>
      <c r="J359" s="11">
        <v>24387</v>
      </c>
      <c r="K359" s="9" t="str">
        <f t="shared" ca="1" si="5"/>
        <v>59 tahun, 9 bulan</v>
      </c>
      <c r="L359" s="12" t="s">
        <v>1507</v>
      </c>
      <c r="M359" s="12" t="s">
        <v>1508</v>
      </c>
      <c r="N359" s="12"/>
      <c r="O359" s="12" t="s">
        <v>1509</v>
      </c>
    </row>
    <row r="360" spans="1:15" s="6" customFormat="1" ht="13.05" customHeight="1">
      <c r="A360" s="8">
        <v>355</v>
      </c>
      <c r="B360" s="30" t="s">
        <v>192</v>
      </c>
      <c r="C360" s="10" t="s">
        <v>2257</v>
      </c>
      <c r="D360" s="13" t="s">
        <v>1988</v>
      </c>
      <c r="E360" s="9" t="s">
        <v>20</v>
      </c>
      <c r="F360" s="9" t="s">
        <v>29</v>
      </c>
      <c r="G360" s="9" t="s">
        <v>25</v>
      </c>
      <c r="H360" s="9" t="s">
        <v>13</v>
      </c>
      <c r="I360" s="15" t="s">
        <v>1923</v>
      </c>
      <c r="J360" s="11">
        <v>24846</v>
      </c>
      <c r="K360" s="9" t="str">
        <f t="shared" ca="1" si="5"/>
        <v>58 tahun, 6 bulan</v>
      </c>
      <c r="L360" s="12" t="s">
        <v>1521</v>
      </c>
      <c r="M360" s="12" t="s">
        <v>1522</v>
      </c>
      <c r="N360" s="12"/>
      <c r="O360" s="12"/>
    </row>
    <row r="361" spans="1:15" s="6" customFormat="1" ht="13.05" customHeight="1">
      <c r="A361" s="8">
        <v>356</v>
      </c>
      <c r="B361" s="30" t="s">
        <v>225</v>
      </c>
      <c r="C361" s="10" t="s">
        <v>2093</v>
      </c>
      <c r="D361" s="13" t="s">
        <v>224</v>
      </c>
      <c r="E361" s="9" t="s">
        <v>20</v>
      </c>
      <c r="F361" s="9" t="s">
        <v>29</v>
      </c>
      <c r="G361" s="9" t="s">
        <v>25</v>
      </c>
      <c r="H361" s="9" t="s">
        <v>15</v>
      </c>
      <c r="I361" s="15" t="s">
        <v>1825</v>
      </c>
      <c r="J361" s="11">
        <v>25353</v>
      </c>
      <c r="K361" s="9" t="str">
        <f t="shared" ca="1" si="5"/>
        <v>57 tahun, 1 bulan</v>
      </c>
      <c r="L361" s="12" t="s">
        <v>1530</v>
      </c>
      <c r="M361" s="35" t="s">
        <v>1531</v>
      </c>
      <c r="N361" s="12"/>
      <c r="O361" s="12" t="s">
        <v>1532</v>
      </c>
    </row>
    <row r="362" spans="1:15" s="6" customFormat="1" ht="13.05" customHeight="1">
      <c r="A362" s="8">
        <v>357</v>
      </c>
      <c r="B362" s="30" t="s">
        <v>236</v>
      </c>
      <c r="C362" s="10" t="s">
        <v>2375</v>
      </c>
      <c r="D362" s="13" t="s">
        <v>2586</v>
      </c>
      <c r="E362" s="9" t="s">
        <v>20</v>
      </c>
      <c r="F362" s="9" t="s">
        <v>29</v>
      </c>
      <c r="G362" s="9" t="s">
        <v>25</v>
      </c>
      <c r="H362" s="9" t="s">
        <v>15</v>
      </c>
      <c r="I362" s="15" t="s">
        <v>1837</v>
      </c>
      <c r="J362" s="11">
        <v>25578</v>
      </c>
      <c r="K362" s="9" t="str">
        <f t="shared" ca="1" si="5"/>
        <v>56 tahun, 6 bulan</v>
      </c>
      <c r="L362" s="12" t="s">
        <v>1539</v>
      </c>
      <c r="M362" s="12" t="s">
        <v>1540</v>
      </c>
      <c r="N362" s="12" t="s">
        <v>1541</v>
      </c>
      <c r="O362" s="12" t="s">
        <v>1542</v>
      </c>
    </row>
    <row r="363" spans="1:15" s="6" customFormat="1" ht="13.05" customHeight="1">
      <c r="A363" s="8">
        <v>358</v>
      </c>
      <c r="B363" s="30" t="s">
        <v>268</v>
      </c>
      <c r="C363" s="10" t="s">
        <v>2254</v>
      </c>
      <c r="D363" s="13" t="s">
        <v>2051</v>
      </c>
      <c r="E363" s="9" t="s">
        <v>20</v>
      </c>
      <c r="F363" s="9" t="s">
        <v>29</v>
      </c>
      <c r="G363" s="9" t="s">
        <v>25</v>
      </c>
      <c r="H363" s="9" t="s">
        <v>15</v>
      </c>
      <c r="I363" s="15" t="s">
        <v>1846</v>
      </c>
      <c r="J363" s="11">
        <v>26168</v>
      </c>
      <c r="K363" s="9" t="str">
        <f t="shared" ca="1" si="5"/>
        <v>54 tahun, 11 bulan</v>
      </c>
      <c r="L363" s="12" t="s">
        <v>1550</v>
      </c>
      <c r="M363" s="12" t="s">
        <v>1551</v>
      </c>
      <c r="N363" s="12" t="s">
        <v>1552</v>
      </c>
      <c r="O363" s="12" t="s">
        <v>1553</v>
      </c>
    </row>
    <row r="364" spans="1:15" s="6" customFormat="1" ht="13.05" customHeight="1">
      <c r="A364" s="8">
        <v>359</v>
      </c>
      <c r="B364" s="31" t="s">
        <v>270</v>
      </c>
      <c r="C364" s="10" t="s">
        <v>2377</v>
      </c>
      <c r="D364" s="13" t="s">
        <v>269</v>
      </c>
      <c r="E364" s="9" t="s">
        <v>20</v>
      </c>
      <c r="F364" s="9" t="s">
        <v>29</v>
      </c>
      <c r="G364" s="9" t="s">
        <v>25</v>
      </c>
      <c r="H364" s="9" t="s">
        <v>15</v>
      </c>
      <c r="I364" s="15" t="s">
        <v>1837</v>
      </c>
      <c r="J364" s="11">
        <v>26171</v>
      </c>
      <c r="K364" s="9" t="str">
        <f t="shared" ca="1" si="5"/>
        <v>54 tahun, 11 bulan</v>
      </c>
      <c r="L364" s="12" t="s">
        <v>1554</v>
      </c>
      <c r="M364" s="12" t="s">
        <v>1555</v>
      </c>
      <c r="N364" s="12" t="s">
        <v>1556</v>
      </c>
      <c r="O364" s="12" t="s">
        <v>1557</v>
      </c>
    </row>
    <row r="365" spans="1:15" s="6" customFormat="1" ht="13.05" customHeight="1">
      <c r="A365" s="8">
        <v>360</v>
      </c>
      <c r="B365" s="31" t="s">
        <v>272</v>
      </c>
      <c r="C365" s="10" t="s">
        <v>2223</v>
      </c>
      <c r="D365" s="13" t="s">
        <v>271</v>
      </c>
      <c r="E365" s="9" t="s">
        <v>20</v>
      </c>
      <c r="F365" s="9" t="s">
        <v>29</v>
      </c>
      <c r="G365" s="9" t="s">
        <v>25</v>
      </c>
      <c r="H365" s="9" t="s">
        <v>13</v>
      </c>
      <c r="I365" s="15" t="s">
        <v>1858</v>
      </c>
      <c r="J365" s="11">
        <v>26181</v>
      </c>
      <c r="K365" s="9" t="str">
        <f t="shared" ca="1" si="5"/>
        <v>54 tahun, 10 bulan</v>
      </c>
      <c r="L365" s="12" t="s">
        <v>1558</v>
      </c>
      <c r="M365" s="12" t="s">
        <v>1559</v>
      </c>
      <c r="N365" s="12" t="s">
        <v>1560</v>
      </c>
      <c r="O365" s="12" t="s">
        <v>1561</v>
      </c>
    </row>
    <row r="366" spans="1:15" s="6" customFormat="1" ht="13.05" customHeight="1">
      <c r="A366" s="8">
        <v>361</v>
      </c>
      <c r="B366" s="31" t="s">
        <v>284</v>
      </c>
      <c r="C366" s="10" t="s">
        <v>2251</v>
      </c>
      <c r="D366" s="13" t="s">
        <v>2589</v>
      </c>
      <c r="E366" s="9" t="s">
        <v>20</v>
      </c>
      <c r="F366" s="9" t="s">
        <v>29</v>
      </c>
      <c r="G366" s="9" t="s">
        <v>25</v>
      </c>
      <c r="H366" s="9" t="s">
        <v>15</v>
      </c>
      <c r="I366" s="15" t="s">
        <v>1909</v>
      </c>
      <c r="J366" s="11">
        <v>26301</v>
      </c>
      <c r="K366" s="9" t="str">
        <f t="shared" ca="1" si="5"/>
        <v>54 tahun, 6 bulan</v>
      </c>
      <c r="L366" s="12" t="s">
        <v>1562</v>
      </c>
      <c r="M366" s="12" t="s">
        <v>1563</v>
      </c>
      <c r="N366" s="12"/>
      <c r="O366" s="12" t="s">
        <v>1564</v>
      </c>
    </row>
    <row r="367" spans="1:15" s="6" customFormat="1" ht="13.05" customHeight="1">
      <c r="A367" s="8">
        <v>362</v>
      </c>
      <c r="B367" s="30" t="s">
        <v>697</v>
      </c>
      <c r="C367" s="10" t="s">
        <v>2128</v>
      </c>
      <c r="D367" s="13" t="s">
        <v>287</v>
      </c>
      <c r="E367" s="9" t="s">
        <v>20</v>
      </c>
      <c r="F367" s="9" t="s">
        <v>2397</v>
      </c>
      <c r="G367" s="9" t="s">
        <v>25</v>
      </c>
      <c r="H367" s="9" t="s">
        <v>13</v>
      </c>
      <c r="I367" s="15" t="s">
        <v>1825</v>
      </c>
      <c r="J367" s="11">
        <v>26407</v>
      </c>
      <c r="K367" s="9" t="str">
        <f t="shared" ca="1" si="5"/>
        <v>54 tahun, 3 bulan</v>
      </c>
      <c r="L367" s="12" t="s">
        <v>952</v>
      </c>
      <c r="M367" s="12" t="s">
        <v>953</v>
      </c>
      <c r="N367" s="12" t="s">
        <v>954</v>
      </c>
      <c r="O367" s="12" t="s">
        <v>955</v>
      </c>
    </row>
    <row r="368" spans="1:15" s="6" customFormat="1" ht="13.05" customHeight="1">
      <c r="A368" s="8">
        <v>363</v>
      </c>
      <c r="B368" s="30" t="s">
        <v>297</v>
      </c>
      <c r="C368" s="10" t="s">
        <v>2439</v>
      </c>
      <c r="D368" s="13" t="s">
        <v>296</v>
      </c>
      <c r="E368" s="9" t="s">
        <v>20</v>
      </c>
      <c r="F368" s="9" t="s">
        <v>29</v>
      </c>
      <c r="G368" s="9" t="s">
        <v>25</v>
      </c>
      <c r="H368" s="9" t="s">
        <v>13</v>
      </c>
      <c r="I368" s="15" t="s">
        <v>1825</v>
      </c>
      <c r="J368" s="11">
        <v>26667</v>
      </c>
      <c r="K368" s="9" t="str">
        <f t="shared" ca="1" si="5"/>
        <v>53 tahun, 6 bulan</v>
      </c>
      <c r="L368" s="12" t="s">
        <v>1568</v>
      </c>
      <c r="M368" s="12" t="s">
        <v>1569</v>
      </c>
      <c r="N368" s="12" t="s">
        <v>1570</v>
      </c>
      <c r="O368" s="12" t="s">
        <v>1571</v>
      </c>
    </row>
    <row r="369" spans="1:15" s="6" customFormat="1" ht="13.05" customHeight="1">
      <c r="A369" s="8">
        <v>364</v>
      </c>
      <c r="B369" s="31" t="s">
        <v>318</v>
      </c>
      <c r="C369" s="10" t="s">
        <v>2440</v>
      </c>
      <c r="D369" s="13" t="s">
        <v>317</v>
      </c>
      <c r="E369" s="9" t="s">
        <v>20</v>
      </c>
      <c r="F369" s="9" t="s">
        <v>29</v>
      </c>
      <c r="G369" s="9" t="s">
        <v>25</v>
      </c>
      <c r="H369" s="9" t="s">
        <v>15</v>
      </c>
      <c r="I369" s="15" t="s">
        <v>1895</v>
      </c>
      <c r="J369" s="11">
        <v>27121</v>
      </c>
      <c r="K369" s="9" t="str">
        <f t="shared" ref="K369:K429" ca="1" si="6">DATEDIF(J369,$B$3,"Y")&amp;" tahun, "&amp;DATEDIF(J369,$B$3,"Ym")&amp;" bulan"</f>
        <v>52 tahun, 3 bulan</v>
      </c>
      <c r="L369" s="12" t="s">
        <v>1573</v>
      </c>
      <c r="M369" s="12" t="s">
        <v>1574</v>
      </c>
      <c r="N369" s="12"/>
      <c r="O369" s="12" t="s">
        <v>1575</v>
      </c>
    </row>
    <row r="370" spans="1:15" s="6" customFormat="1" ht="11.55" customHeight="1">
      <c r="A370" s="8">
        <v>365</v>
      </c>
      <c r="B370" s="30" t="s">
        <v>341</v>
      </c>
      <c r="C370" s="10" t="s">
        <v>2253</v>
      </c>
      <c r="D370" s="13" t="s">
        <v>340</v>
      </c>
      <c r="E370" s="9" t="s">
        <v>20</v>
      </c>
      <c r="F370" s="9" t="s">
        <v>29</v>
      </c>
      <c r="G370" s="9" t="s">
        <v>25</v>
      </c>
      <c r="H370" s="9" t="s">
        <v>15</v>
      </c>
      <c r="I370" s="15" t="s">
        <v>1825</v>
      </c>
      <c r="J370" s="11">
        <v>27429</v>
      </c>
      <c r="K370" s="9" t="str">
        <f t="shared" ca="1" si="6"/>
        <v>51 tahun, 5 bulan</v>
      </c>
      <c r="L370" s="12" t="s">
        <v>1580</v>
      </c>
      <c r="M370" s="12" t="s">
        <v>1581</v>
      </c>
      <c r="N370" s="12" t="s">
        <v>1582</v>
      </c>
      <c r="O370" s="12" t="s">
        <v>1583</v>
      </c>
    </row>
    <row r="371" spans="1:15" s="6" customFormat="1" ht="13.05" customHeight="1">
      <c r="A371" s="8">
        <v>366</v>
      </c>
      <c r="B371" s="30" t="s">
        <v>352</v>
      </c>
      <c r="C371" s="10" t="s">
        <v>2196</v>
      </c>
      <c r="D371" s="13" t="s">
        <v>351</v>
      </c>
      <c r="E371" s="9" t="s">
        <v>20</v>
      </c>
      <c r="F371" s="9" t="s">
        <v>29</v>
      </c>
      <c r="G371" s="9" t="s">
        <v>25</v>
      </c>
      <c r="H371" s="9" t="s">
        <v>13</v>
      </c>
      <c r="I371" s="15" t="s">
        <v>1824</v>
      </c>
      <c r="J371" s="11">
        <v>27505</v>
      </c>
      <c r="K371" s="9" t="str">
        <f t="shared" ca="1" si="6"/>
        <v>51 tahun, 3 bulan</v>
      </c>
      <c r="L371" s="12" t="s">
        <v>1584</v>
      </c>
      <c r="M371" s="12" t="s">
        <v>1585</v>
      </c>
      <c r="N371" s="12"/>
      <c r="O371" s="12" t="s">
        <v>1586</v>
      </c>
    </row>
    <row r="372" spans="1:15" s="6" customFormat="1" ht="13.05" customHeight="1">
      <c r="A372" s="8">
        <v>367</v>
      </c>
      <c r="B372" s="30" t="s">
        <v>387</v>
      </c>
      <c r="C372" s="10" t="s">
        <v>2077</v>
      </c>
      <c r="D372" s="13" t="s">
        <v>386</v>
      </c>
      <c r="E372" s="9" t="s">
        <v>20</v>
      </c>
      <c r="F372" s="9" t="s">
        <v>29</v>
      </c>
      <c r="G372" s="9" t="s">
        <v>25</v>
      </c>
      <c r="H372" s="9" t="s">
        <v>13</v>
      </c>
      <c r="I372" s="15" t="s">
        <v>1873</v>
      </c>
      <c r="J372" s="11">
        <v>27895</v>
      </c>
      <c r="K372" s="9" t="str">
        <f t="shared" ca="1" si="6"/>
        <v>50 tahun, 2 bulan</v>
      </c>
      <c r="L372" s="12" t="s">
        <v>1590</v>
      </c>
      <c r="M372" s="12" t="s">
        <v>1591</v>
      </c>
      <c r="N372" s="12"/>
      <c r="O372" s="12" t="s">
        <v>1592</v>
      </c>
    </row>
    <row r="373" spans="1:15" s="6" customFormat="1" ht="13.05" customHeight="1">
      <c r="A373" s="8">
        <v>368</v>
      </c>
      <c r="B373" s="30" t="s">
        <v>398</v>
      </c>
      <c r="C373" s="10" t="s">
        <v>2053</v>
      </c>
      <c r="D373" s="13" t="s">
        <v>1956</v>
      </c>
      <c r="E373" s="9" t="s">
        <v>20</v>
      </c>
      <c r="F373" s="9" t="s">
        <v>29</v>
      </c>
      <c r="G373" s="9" t="s">
        <v>25</v>
      </c>
      <c r="H373" s="9" t="s">
        <v>15</v>
      </c>
      <c r="I373" s="15" t="s">
        <v>1825</v>
      </c>
      <c r="J373" s="11">
        <v>28018</v>
      </c>
      <c r="K373" s="9" t="str">
        <f t="shared" ca="1" si="6"/>
        <v>49 tahun, 10 bulan</v>
      </c>
      <c r="L373" s="12" t="s">
        <v>1593</v>
      </c>
      <c r="M373" s="12" t="s">
        <v>1594</v>
      </c>
      <c r="N373" s="12" t="s">
        <v>1595</v>
      </c>
      <c r="O373" s="12" t="s">
        <v>1596</v>
      </c>
    </row>
    <row r="374" spans="1:15" s="6" customFormat="1" ht="13.05" customHeight="1">
      <c r="A374" s="8">
        <v>369</v>
      </c>
      <c r="B374" s="30" t="s">
        <v>418</v>
      </c>
      <c r="C374" s="10" t="s">
        <v>2219</v>
      </c>
      <c r="D374" s="13" t="s">
        <v>417</v>
      </c>
      <c r="E374" s="9" t="s">
        <v>20</v>
      </c>
      <c r="F374" s="9" t="s">
        <v>2397</v>
      </c>
      <c r="G374" s="9" t="s">
        <v>25</v>
      </c>
      <c r="H374" s="9" t="s">
        <v>15</v>
      </c>
      <c r="I374" s="15" t="s">
        <v>1824</v>
      </c>
      <c r="J374" s="11">
        <v>28422</v>
      </c>
      <c r="K374" s="9" t="str">
        <f t="shared" ca="1" si="6"/>
        <v>48 tahun, 9 bulan</v>
      </c>
      <c r="L374" s="12" t="s">
        <v>1079</v>
      </c>
      <c r="M374" s="12" t="s">
        <v>1080</v>
      </c>
      <c r="N374" s="12" t="s">
        <v>1081</v>
      </c>
      <c r="O374" s="12" t="s">
        <v>1082</v>
      </c>
    </row>
    <row r="375" spans="1:15" s="6" customFormat="1" ht="13.05" customHeight="1">
      <c r="A375" s="8">
        <v>370</v>
      </c>
      <c r="B375" s="30" t="s">
        <v>444</v>
      </c>
      <c r="C375" s="10" t="s">
        <v>2441</v>
      </c>
      <c r="D375" s="13" t="s">
        <v>443</v>
      </c>
      <c r="E375" s="9" t="s">
        <v>20</v>
      </c>
      <c r="F375" s="9" t="s">
        <v>29</v>
      </c>
      <c r="G375" s="9" t="s">
        <v>25</v>
      </c>
      <c r="H375" s="9" t="s">
        <v>15</v>
      </c>
      <c r="I375" s="15" t="s">
        <v>1825</v>
      </c>
      <c r="J375" s="11">
        <v>28681</v>
      </c>
      <c r="K375" s="9" t="str">
        <f t="shared" ca="1" si="6"/>
        <v>48 tahun, 0 bulan</v>
      </c>
      <c r="L375" s="12" t="s">
        <v>1681</v>
      </c>
      <c r="M375" s="35" t="s">
        <v>1682</v>
      </c>
      <c r="N375" s="12" t="s">
        <v>1683</v>
      </c>
      <c r="O375" s="12" t="s">
        <v>1684</v>
      </c>
    </row>
    <row r="376" spans="1:15" s="6" customFormat="1" ht="13.05" customHeight="1">
      <c r="A376" s="8">
        <v>371</v>
      </c>
      <c r="B376" s="30" t="s">
        <v>536</v>
      </c>
      <c r="C376" s="10" t="s">
        <v>2365</v>
      </c>
      <c r="D376" s="13" t="s">
        <v>535</v>
      </c>
      <c r="E376" s="9" t="s">
        <v>20</v>
      </c>
      <c r="F376" s="9" t="s">
        <v>2397</v>
      </c>
      <c r="G376" s="9" t="s">
        <v>25</v>
      </c>
      <c r="H376" s="9" t="s">
        <v>290</v>
      </c>
      <c r="I376" s="15" t="s">
        <v>1825</v>
      </c>
      <c r="J376" s="11">
        <v>29798</v>
      </c>
      <c r="K376" s="9" t="str">
        <f t="shared" ca="1" si="6"/>
        <v>44 tahun, 11 bulan</v>
      </c>
      <c r="L376" s="12" t="s">
        <v>1140</v>
      </c>
      <c r="M376" s="12" t="s">
        <v>1141</v>
      </c>
      <c r="N376" s="12" t="s">
        <v>1142</v>
      </c>
      <c r="O376" s="12" t="s">
        <v>1143</v>
      </c>
    </row>
    <row r="377" spans="1:15" s="6" customFormat="1" ht="13.05" customHeight="1">
      <c r="A377" s="8">
        <v>372</v>
      </c>
      <c r="B377" s="30" t="s">
        <v>568</v>
      </c>
      <c r="C377" s="10" t="s">
        <v>2088</v>
      </c>
      <c r="D377" s="13" t="s">
        <v>567</v>
      </c>
      <c r="E377" s="9" t="s">
        <v>20</v>
      </c>
      <c r="F377" s="9" t="s">
        <v>2397</v>
      </c>
      <c r="G377" s="9" t="s">
        <v>25</v>
      </c>
      <c r="H377" s="9" t="s">
        <v>13</v>
      </c>
      <c r="I377" s="15" t="s">
        <v>1825</v>
      </c>
      <c r="J377" s="11">
        <v>30563</v>
      </c>
      <c r="K377" s="9" t="str">
        <f t="shared" ca="1" si="6"/>
        <v>42 tahun, 10 bulan</v>
      </c>
      <c r="L377" s="12" t="s">
        <v>1165</v>
      </c>
      <c r="M377" s="12" t="s">
        <v>1166</v>
      </c>
      <c r="N377" s="12" t="s">
        <v>1167</v>
      </c>
      <c r="O377" s="12" t="s">
        <v>1168</v>
      </c>
    </row>
    <row r="378" spans="1:15" s="6" customFormat="1" ht="13.05" customHeight="1">
      <c r="A378" s="8">
        <v>373</v>
      </c>
      <c r="B378" s="31" t="s">
        <v>616</v>
      </c>
      <c r="C378" s="10" t="s">
        <v>2179</v>
      </c>
      <c r="D378" s="13" t="s">
        <v>615</v>
      </c>
      <c r="E378" s="9" t="s">
        <v>20</v>
      </c>
      <c r="F378" s="9" t="s">
        <v>29</v>
      </c>
      <c r="G378" s="9" t="s">
        <v>25</v>
      </c>
      <c r="H378" s="9" t="s">
        <v>13</v>
      </c>
      <c r="I378" s="15" t="s">
        <v>1825</v>
      </c>
      <c r="J378" s="11">
        <v>31455</v>
      </c>
      <c r="K378" s="9" t="str">
        <f t="shared" ca="1" si="6"/>
        <v>40 tahun, 5 bulan</v>
      </c>
      <c r="L378" s="12"/>
      <c r="M378" s="12"/>
      <c r="N378" s="12"/>
      <c r="O378" s="12"/>
    </row>
    <row r="379" spans="1:15" s="6" customFormat="1" ht="13.05" customHeight="1">
      <c r="A379" s="8">
        <v>374</v>
      </c>
      <c r="B379" s="31" t="s">
        <v>640</v>
      </c>
      <c r="C379" s="10" t="s">
        <v>2182</v>
      </c>
      <c r="D379" s="13" t="s">
        <v>639</v>
      </c>
      <c r="E379" s="9" t="s">
        <v>20</v>
      </c>
      <c r="F379" s="9" t="s">
        <v>29</v>
      </c>
      <c r="G379" s="9" t="s">
        <v>25</v>
      </c>
      <c r="H379" s="9" t="s">
        <v>13</v>
      </c>
      <c r="I379" s="15" t="s">
        <v>1833</v>
      </c>
      <c r="J379" s="11">
        <v>31819</v>
      </c>
      <c r="K379" s="9" t="str">
        <f t="shared" ca="1" si="6"/>
        <v>39 tahun, 5 bulan</v>
      </c>
      <c r="L379" s="12"/>
      <c r="M379" s="12"/>
      <c r="N379" s="12"/>
      <c r="O379" s="12"/>
    </row>
    <row r="380" spans="1:15" s="6" customFormat="1" ht="13.05" customHeight="1">
      <c r="A380" s="8">
        <v>375</v>
      </c>
      <c r="B380" s="30" t="s">
        <v>2024</v>
      </c>
      <c r="C380" s="10" t="s">
        <v>2217</v>
      </c>
      <c r="D380" s="13" t="s">
        <v>2023</v>
      </c>
      <c r="E380" s="9" t="s">
        <v>20</v>
      </c>
      <c r="F380" s="9" t="s">
        <v>2397</v>
      </c>
      <c r="G380" s="9" t="s">
        <v>25</v>
      </c>
      <c r="H380" s="9" t="s">
        <v>13</v>
      </c>
      <c r="I380" s="15" t="s">
        <v>1825</v>
      </c>
      <c r="J380" s="11">
        <v>32441</v>
      </c>
      <c r="K380" s="9" t="str">
        <f t="shared" ca="1" si="6"/>
        <v>37 tahun, 9 bulan</v>
      </c>
      <c r="L380" s="12"/>
      <c r="M380" s="12"/>
      <c r="N380" s="12"/>
      <c r="O380" s="12" t="s">
        <v>2025</v>
      </c>
    </row>
    <row r="381" spans="1:15" s="6" customFormat="1" ht="13.05" customHeight="1">
      <c r="A381" s="8">
        <v>376</v>
      </c>
      <c r="B381" s="30" t="s">
        <v>2021</v>
      </c>
      <c r="C381" s="10" t="s">
        <v>2216</v>
      </c>
      <c r="D381" s="13" t="s">
        <v>2020</v>
      </c>
      <c r="E381" s="9" t="s">
        <v>20</v>
      </c>
      <c r="F381" s="9" t="s">
        <v>2397</v>
      </c>
      <c r="G381" s="9" t="s">
        <v>25</v>
      </c>
      <c r="H381" s="9" t="s">
        <v>13</v>
      </c>
      <c r="I381" s="15" t="s">
        <v>1856</v>
      </c>
      <c r="J381" s="11">
        <v>33548</v>
      </c>
      <c r="K381" s="9" t="str">
        <f t="shared" ca="1" si="6"/>
        <v>34 tahun, 8 bulan</v>
      </c>
      <c r="L381" s="12"/>
      <c r="M381" s="12"/>
      <c r="N381" s="12"/>
      <c r="O381" s="12" t="s">
        <v>2022</v>
      </c>
    </row>
    <row r="382" spans="1:15" s="6" customFormat="1" ht="13.05" customHeight="1">
      <c r="A382" s="8">
        <v>377</v>
      </c>
      <c r="B382" s="30" t="s">
        <v>110</v>
      </c>
      <c r="C382" s="41" t="s">
        <v>2631</v>
      </c>
      <c r="D382" s="43" t="s">
        <v>2639</v>
      </c>
      <c r="E382" s="9" t="s">
        <v>49</v>
      </c>
      <c r="F382" s="9" t="s">
        <v>29</v>
      </c>
      <c r="G382" s="9" t="s">
        <v>25</v>
      </c>
      <c r="H382" s="9" t="s">
        <v>15</v>
      </c>
      <c r="I382" s="15" t="s">
        <v>1824</v>
      </c>
      <c r="J382" s="11">
        <v>23239</v>
      </c>
      <c r="K382" s="9" t="str">
        <f t="shared" ca="1" si="6"/>
        <v>62 tahun, 11 bulan</v>
      </c>
      <c r="L382" s="12"/>
      <c r="M382" s="12" t="s">
        <v>1470</v>
      </c>
      <c r="N382" s="12"/>
      <c r="O382" s="12"/>
    </row>
    <row r="383" spans="1:15" s="6" customFormat="1" ht="13.05" customHeight="1">
      <c r="A383" s="8">
        <v>378</v>
      </c>
      <c r="B383" s="30" t="s">
        <v>141</v>
      </c>
      <c r="C383" s="10" t="s">
        <v>2327</v>
      </c>
      <c r="D383" s="13" t="s">
        <v>2638</v>
      </c>
      <c r="E383" s="9" t="s">
        <v>49</v>
      </c>
      <c r="F383" s="9" t="s">
        <v>2397</v>
      </c>
      <c r="G383" s="9" t="s">
        <v>25</v>
      </c>
      <c r="H383" s="9" t="s">
        <v>15</v>
      </c>
      <c r="I383" s="15" t="s">
        <v>1867</v>
      </c>
      <c r="J383" s="11">
        <v>24078</v>
      </c>
      <c r="K383" s="9" t="str">
        <f t="shared" ca="1" si="6"/>
        <v>60 tahun, 7 bulan</v>
      </c>
      <c r="L383" s="12" t="s">
        <v>766</v>
      </c>
      <c r="M383" s="12" t="s">
        <v>767</v>
      </c>
      <c r="N383" s="12"/>
      <c r="O383" s="12" t="s">
        <v>768</v>
      </c>
    </row>
    <row r="384" spans="1:15" s="6" customFormat="1" ht="13.05" customHeight="1">
      <c r="A384" s="8">
        <v>379</v>
      </c>
      <c r="B384" s="30" t="s">
        <v>698</v>
      </c>
      <c r="C384" s="10" t="s">
        <v>2328</v>
      </c>
      <c r="D384" s="43" t="s">
        <v>2646</v>
      </c>
      <c r="E384" s="9" t="s">
        <v>49</v>
      </c>
      <c r="F384" s="9" t="s">
        <v>2397</v>
      </c>
      <c r="G384" s="9" t="s">
        <v>25</v>
      </c>
      <c r="H384" s="9" t="s">
        <v>15</v>
      </c>
      <c r="I384" s="15" t="s">
        <v>1856</v>
      </c>
      <c r="J384" s="11">
        <v>26409</v>
      </c>
      <c r="K384" s="9" t="str">
        <f t="shared" ca="1" si="6"/>
        <v>54 tahun, 3 bulan</v>
      </c>
      <c r="L384" s="12" t="s">
        <v>956</v>
      </c>
      <c r="M384" s="12" t="s">
        <v>957</v>
      </c>
      <c r="N384" s="12" t="s">
        <v>958</v>
      </c>
      <c r="O384" s="12" t="s">
        <v>959</v>
      </c>
    </row>
    <row r="385" spans="1:15" s="6" customFormat="1" ht="13.05" customHeight="1">
      <c r="A385" s="8">
        <v>380</v>
      </c>
      <c r="B385" s="30" t="s">
        <v>295</v>
      </c>
      <c r="C385" s="10" t="s">
        <v>2331</v>
      </c>
      <c r="D385" s="13" t="s">
        <v>2640</v>
      </c>
      <c r="E385" s="9" t="s">
        <v>49</v>
      </c>
      <c r="F385" s="9" t="s">
        <v>29</v>
      </c>
      <c r="G385" s="9" t="s">
        <v>25</v>
      </c>
      <c r="H385" s="9" t="s">
        <v>15</v>
      </c>
      <c r="I385" s="15" t="s">
        <v>1825</v>
      </c>
      <c r="J385" s="11">
        <v>26608</v>
      </c>
      <c r="K385" s="9" t="str">
        <f t="shared" ca="1" si="6"/>
        <v>53 tahun, 8 bulan</v>
      </c>
      <c r="L385" s="12" t="s">
        <v>1565</v>
      </c>
      <c r="M385" s="12" t="s">
        <v>1566</v>
      </c>
      <c r="N385" s="12"/>
      <c r="O385" s="12" t="s">
        <v>1567</v>
      </c>
    </row>
    <row r="386" spans="1:15" s="6" customFormat="1" ht="13.05" customHeight="1">
      <c r="A386" s="8">
        <v>381</v>
      </c>
      <c r="B386" s="30" t="s">
        <v>314</v>
      </c>
      <c r="C386" s="10" t="s">
        <v>2113</v>
      </c>
      <c r="D386" s="43" t="s">
        <v>2641</v>
      </c>
      <c r="E386" s="9" t="s">
        <v>49</v>
      </c>
      <c r="F386" s="9" t="s">
        <v>2397</v>
      </c>
      <c r="G386" s="9" t="s">
        <v>25</v>
      </c>
      <c r="H386" s="9" t="s">
        <v>15</v>
      </c>
      <c r="I386" s="15" t="s">
        <v>1825</v>
      </c>
      <c r="J386" s="11">
        <v>27064</v>
      </c>
      <c r="K386" s="9" t="str">
        <f t="shared" ca="1" si="6"/>
        <v>52 tahun, 5 bulan</v>
      </c>
      <c r="L386" s="12" t="s">
        <v>979</v>
      </c>
      <c r="M386" s="12" t="s">
        <v>980</v>
      </c>
      <c r="N386" s="12" t="s">
        <v>981</v>
      </c>
      <c r="O386" s="12" t="s">
        <v>982</v>
      </c>
    </row>
    <row r="387" spans="1:15" s="6" customFormat="1" ht="13.05" customHeight="1">
      <c r="A387" s="8">
        <v>382</v>
      </c>
      <c r="B387" s="30" t="s">
        <v>324</v>
      </c>
      <c r="C387" s="41" t="s">
        <v>2632</v>
      </c>
      <c r="D387" s="43" t="s">
        <v>2642</v>
      </c>
      <c r="E387" s="9" t="s">
        <v>49</v>
      </c>
      <c r="F387" s="9" t="s">
        <v>29</v>
      </c>
      <c r="G387" s="9" t="s">
        <v>25</v>
      </c>
      <c r="H387" s="9" t="s">
        <v>15</v>
      </c>
      <c r="I387" s="15" t="s">
        <v>1837</v>
      </c>
      <c r="J387" s="11">
        <v>27220</v>
      </c>
      <c r="K387" s="9" t="str">
        <f t="shared" ca="1" si="6"/>
        <v>52 tahun, 0 bulan</v>
      </c>
      <c r="L387" s="12"/>
      <c r="M387" s="12" t="s">
        <v>1773</v>
      </c>
      <c r="N387" s="12"/>
      <c r="O387" s="12"/>
    </row>
    <row r="388" spans="1:15" s="6" customFormat="1" ht="13.05" customHeight="1">
      <c r="A388" s="8">
        <v>383</v>
      </c>
      <c r="B388" s="31" t="s">
        <v>1934</v>
      </c>
      <c r="C388" s="10" t="s">
        <v>2332</v>
      </c>
      <c r="D388" s="13" t="s">
        <v>2643</v>
      </c>
      <c r="E388" s="9" t="s">
        <v>49</v>
      </c>
      <c r="F388" s="9" t="s">
        <v>29</v>
      </c>
      <c r="G388" s="9" t="s">
        <v>25</v>
      </c>
      <c r="H388" s="9" t="s">
        <v>15</v>
      </c>
      <c r="I388" s="15"/>
      <c r="J388" s="11">
        <v>28105</v>
      </c>
      <c r="K388" s="9" t="str">
        <f t="shared" ca="1" si="6"/>
        <v>49 tahun, 7 bulan</v>
      </c>
      <c r="L388" s="12" t="s">
        <v>1666</v>
      </c>
      <c r="M388" s="12" t="s">
        <v>1667</v>
      </c>
      <c r="N388" s="12" t="s">
        <v>1668</v>
      </c>
      <c r="O388" s="12" t="s">
        <v>1669</v>
      </c>
    </row>
    <row r="389" spans="1:15" s="6" customFormat="1" ht="13.05" customHeight="1">
      <c r="A389" s="8">
        <v>384</v>
      </c>
      <c r="B389" s="30" t="s">
        <v>509</v>
      </c>
      <c r="C389" s="10" t="s">
        <v>2329</v>
      </c>
      <c r="D389" s="13" t="s">
        <v>2644</v>
      </c>
      <c r="E389" s="9" t="s">
        <v>49</v>
      </c>
      <c r="F389" s="9" t="s">
        <v>2397</v>
      </c>
      <c r="G389" s="9" t="s">
        <v>25</v>
      </c>
      <c r="H389" s="9" t="s">
        <v>15</v>
      </c>
      <c r="I389" s="15" t="s">
        <v>1825</v>
      </c>
      <c r="J389" s="11">
        <v>29389</v>
      </c>
      <c r="K389" s="9" t="str">
        <f t="shared" ca="1" si="6"/>
        <v>46 tahun, 1 bulan</v>
      </c>
      <c r="L389" s="12" t="s">
        <v>1125</v>
      </c>
      <c r="M389" s="12" t="s">
        <v>1126</v>
      </c>
      <c r="N389" s="12" t="s">
        <v>1127</v>
      </c>
      <c r="O389" s="12" t="s">
        <v>1128</v>
      </c>
    </row>
    <row r="390" spans="1:15" s="6" customFormat="1" ht="13.05" customHeight="1">
      <c r="A390" s="8">
        <v>385</v>
      </c>
      <c r="B390" s="31" t="s">
        <v>1935</v>
      </c>
      <c r="C390" s="10" t="s">
        <v>2226</v>
      </c>
      <c r="D390" s="13" t="s">
        <v>2645</v>
      </c>
      <c r="E390" s="9" t="s">
        <v>49</v>
      </c>
      <c r="F390" s="9" t="s">
        <v>29</v>
      </c>
      <c r="G390" s="9" t="s">
        <v>25</v>
      </c>
      <c r="H390" s="9" t="s">
        <v>15</v>
      </c>
      <c r="I390" s="15"/>
      <c r="J390" s="11">
        <v>29465</v>
      </c>
      <c r="K390" s="9" t="str">
        <f t="shared" ca="1" si="6"/>
        <v>45 tahun, 10 bulan</v>
      </c>
      <c r="L390" s="12" t="s">
        <v>1806</v>
      </c>
      <c r="M390" s="12" t="s">
        <v>1807</v>
      </c>
      <c r="N390" s="12" t="s">
        <v>716</v>
      </c>
      <c r="O390" s="12" t="s">
        <v>1808</v>
      </c>
    </row>
    <row r="391" spans="1:15" s="6" customFormat="1" ht="13.05" customHeight="1">
      <c r="A391" s="8">
        <v>386</v>
      </c>
      <c r="B391" s="30" t="s">
        <v>1893</v>
      </c>
      <c r="C391" s="10" t="s">
        <v>2333</v>
      </c>
      <c r="D391" s="13" t="s">
        <v>2649</v>
      </c>
      <c r="E391" s="9" t="s">
        <v>49</v>
      </c>
      <c r="F391" s="9" t="s">
        <v>29</v>
      </c>
      <c r="G391" s="9"/>
      <c r="H391" s="9" t="s">
        <v>15</v>
      </c>
      <c r="I391" s="15" t="s">
        <v>1824</v>
      </c>
      <c r="J391" s="11">
        <v>29911</v>
      </c>
      <c r="K391" s="9" t="str">
        <f t="shared" ca="1" si="6"/>
        <v>44 tahun, 8 bulan</v>
      </c>
      <c r="L391" s="12"/>
      <c r="M391" s="12"/>
      <c r="N391" s="12"/>
      <c r="O391" s="12"/>
    </row>
    <row r="392" spans="1:15" s="6" customFormat="1" ht="13.05" customHeight="1">
      <c r="A392" s="8">
        <v>387</v>
      </c>
      <c r="B392" s="30" t="s">
        <v>1831</v>
      </c>
      <c r="C392" s="10" t="s">
        <v>2330</v>
      </c>
      <c r="D392" s="13" t="s">
        <v>2650</v>
      </c>
      <c r="E392" s="9" t="s">
        <v>49</v>
      </c>
      <c r="F392" s="9" t="s">
        <v>29</v>
      </c>
      <c r="G392" s="9"/>
      <c r="H392" s="9" t="s">
        <v>15</v>
      </c>
      <c r="I392" s="15" t="s">
        <v>1832</v>
      </c>
      <c r="J392" s="11">
        <v>29950</v>
      </c>
      <c r="K392" s="9" t="str">
        <f t="shared" ca="1" si="6"/>
        <v>44 tahun, 6 bulan</v>
      </c>
      <c r="L392" s="12"/>
      <c r="M392" s="12"/>
      <c r="N392" s="12"/>
      <c r="O392" s="12"/>
    </row>
    <row r="393" spans="1:15" s="6" customFormat="1" ht="13.05" customHeight="1">
      <c r="A393" s="8">
        <v>388</v>
      </c>
      <c r="B393" s="30" t="s">
        <v>583</v>
      </c>
      <c r="C393" s="10" t="s">
        <v>2157</v>
      </c>
      <c r="D393" s="13" t="s">
        <v>2648</v>
      </c>
      <c r="E393" s="9" t="s">
        <v>49</v>
      </c>
      <c r="F393" s="9" t="s">
        <v>2397</v>
      </c>
      <c r="G393" s="9" t="s">
        <v>25</v>
      </c>
      <c r="H393" s="9" t="s">
        <v>290</v>
      </c>
      <c r="I393" s="15" t="s">
        <v>1825</v>
      </c>
      <c r="J393" s="11">
        <v>30925</v>
      </c>
      <c r="K393" s="9" t="str">
        <f t="shared" ca="1" si="6"/>
        <v>41 tahun, 10 bulan</v>
      </c>
      <c r="L393" s="12" t="s">
        <v>1172</v>
      </c>
      <c r="M393" s="12" t="s">
        <v>1173</v>
      </c>
      <c r="N393" s="12"/>
      <c r="O393" s="12" t="s">
        <v>1174</v>
      </c>
    </row>
    <row r="394" spans="1:15" s="6" customFormat="1" ht="13.05" customHeight="1">
      <c r="A394" s="8">
        <v>389</v>
      </c>
      <c r="B394" s="30" t="s">
        <v>1922</v>
      </c>
      <c r="C394" s="10" t="s">
        <v>2334</v>
      </c>
      <c r="D394" s="13" t="s">
        <v>2647</v>
      </c>
      <c r="E394" s="9" t="s">
        <v>49</v>
      </c>
      <c r="F394" s="9" t="s">
        <v>29</v>
      </c>
      <c r="G394" s="9"/>
      <c r="H394" s="9" t="s">
        <v>13</v>
      </c>
      <c r="I394" s="15" t="s">
        <v>1824</v>
      </c>
      <c r="J394" s="11">
        <v>31423</v>
      </c>
      <c r="K394" s="9" t="str">
        <f t="shared" ca="1" si="6"/>
        <v>40 tahun, 6 bulan</v>
      </c>
      <c r="L394" s="12"/>
      <c r="M394" s="12"/>
      <c r="N394" s="12"/>
      <c r="O394" s="12"/>
    </row>
    <row r="395" spans="1:15" s="6" customFormat="1" ht="13.05" customHeight="1">
      <c r="A395" s="8">
        <v>390</v>
      </c>
      <c r="B395" s="31" t="s">
        <v>2660</v>
      </c>
      <c r="C395" s="10" t="s">
        <v>2271</v>
      </c>
      <c r="D395" s="13" t="s">
        <v>34</v>
      </c>
      <c r="E395" s="9" t="s">
        <v>35</v>
      </c>
      <c r="F395" s="9" t="s">
        <v>2397</v>
      </c>
      <c r="G395" s="9" t="s">
        <v>2662</v>
      </c>
      <c r="H395" s="9" t="s">
        <v>13</v>
      </c>
      <c r="I395" s="15" t="s">
        <v>1825</v>
      </c>
      <c r="J395" s="11">
        <v>20310</v>
      </c>
      <c r="K395" s="9" t="str">
        <f t="shared" ca="1" si="6"/>
        <v>70 tahun, 11 bulan</v>
      </c>
      <c r="L395" s="12" t="s">
        <v>722</v>
      </c>
      <c r="M395" s="12" t="s">
        <v>723</v>
      </c>
      <c r="N395" s="12" t="s">
        <v>724</v>
      </c>
      <c r="O395" s="12" t="s">
        <v>725</v>
      </c>
    </row>
    <row r="396" spans="1:15" s="6" customFormat="1" ht="13.05" customHeight="1">
      <c r="A396" s="8">
        <v>391</v>
      </c>
      <c r="B396" s="30" t="s">
        <v>187</v>
      </c>
      <c r="C396" s="10" t="s">
        <v>2442</v>
      </c>
      <c r="D396" s="13" t="s">
        <v>186</v>
      </c>
      <c r="E396" s="9" t="s">
        <v>35</v>
      </c>
      <c r="F396" s="9" t="s">
        <v>29</v>
      </c>
      <c r="G396" s="9" t="s">
        <v>25</v>
      </c>
      <c r="H396" s="9" t="s">
        <v>13</v>
      </c>
      <c r="I396" s="15" t="s">
        <v>1824</v>
      </c>
      <c r="J396" s="11">
        <v>24658</v>
      </c>
      <c r="K396" s="9" t="str">
        <f t="shared" ca="1" si="6"/>
        <v>59 tahun, 0 bulan</v>
      </c>
      <c r="L396" s="12" t="s">
        <v>1623</v>
      </c>
      <c r="M396" s="12" t="s">
        <v>1624</v>
      </c>
      <c r="N396" s="12"/>
      <c r="O396" s="12" t="s">
        <v>1625</v>
      </c>
    </row>
    <row r="397" spans="1:15" s="6" customFormat="1" ht="13.05" customHeight="1">
      <c r="A397" s="8">
        <v>392</v>
      </c>
      <c r="B397" s="30" t="s">
        <v>347</v>
      </c>
      <c r="C397" s="10" t="s">
        <v>2269</v>
      </c>
      <c r="D397" s="13" t="s">
        <v>346</v>
      </c>
      <c r="E397" s="9" t="s">
        <v>35</v>
      </c>
      <c r="F397" s="9" t="s">
        <v>2397</v>
      </c>
      <c r="G397" s="9" t="s">
        <v>25</v>
      </c>
      <c r="H397" s="9" t="s">
        <v>15</v>
      </c>
      <c r="I397" s="15" t="s">
        <v>1867</v>
      </c>
      <c r="J397" s="11">
        <v>27484</v>
      </c>
      <c r="K397" s="9" t="str">
        <f t="shared" ca="1" si="6"/>
        <v>51 tahun, 3 bulan</v>
      </c>
      <c r="L397" s="12" t="s">
        <v>1008</v>
      </c>
      <c r="M397" s="12" t="s">
        <v>1009</v>
      </c>
      <c r="N397" s="12" t="s">
        <v>1010</v>
      </c>
      <c r="O397" s="12" t="s">
        <v>1011</v>
      </c>
    </row>
    <row r="398" spans="1:15" s="6" customFormat="1" ht="13.05" customHeight="1">
      <c r="A398" s="8">
        <v>393</v>
      </c>
      <c r="B398" s="30" t="s">
        <v>360</v>
      </c>
      <c r="C398" s="10" t="s">
        <v>2272</v>
      </c>
      <c r="D398" s="13" t="s">
        <v>359</v>
      </c>
      <c r="E398" s="9" t="s">
        <v>35</v>
      </c>
      <c r="F398" s="9" t="s">
        <v>29</v>
      </c>
      <c r="G398" s="9" t="s">
        <v>25</v>
      </c>
      <c r="H398" s="9" t="s">
        <v>13</v>
      </c>
      <c r="I398" s="15" t="s">
        <v>1870</v>
      </c>
      <c r="J398" s="11">
        <v>27614</v>
      </c>
      <c r="K398" s="9" t="str">
        <f t="shared" ca="1" si="6"/>
        <v>50 tahun, 11 bulan</v>
      </c>
      <c r="L398" s="12" t="s">
        <v>1662</v>
      </c>
      <c r="M398" s="12" t="s">
        <v>1663</v>
      </c>
      <c r="N398" s="12"/>
      <c r="O398" s="12" t="s">
        <v>1664</v>
      </c>
    </row>
    <row r="399" spans="1:15" s="6" customFormat="1" ht="13.05" customHeight="1">
      <c r="A399" s="8">
        <v>394</v>
      </c>
      <c r="B399" s="30" t="s">
        <v>374</v>
      </c>
      <c r="C399" s="10" t="s">
        <v>2270</v>
      </c>
      <c r="D399" s="13" t="s">
        <v>373</v>
      </c>
      <c r="E399" s="9" t="s">
        <v>35</v>
      </c>
      <c r="F399" s="9" t="s">
        <v>2397</v>
      </c>
      <c r="G399" s="9" t="s">
        <v>25</v>
      </c>
      <c r="H399" s="9" t="s">
        <v>13</v>
      </c>
      <c r="I399" s="15" t="s">
        <v>1857</v>
      </c>
      <c r="J399" s="11">
        <v>27770</v>
      </c>
      <c r="K399" s="9" t="str">
        <f t="shared" ca="1" si="6"/>
        <v>50 tahun, 6 bulan</v>
      </c>
      <c r="L399" s="12" t="s">
        <v>1028</v>
      </c>
      <c r="M399" s="12" t="s">
        <v>1029</v>
      </c>
      <c r="N399" s="12" t="s">
        <v>940</v>
      </c>
      <c r="O399" s="12" t="s">
        <v>1030</v>
      </c>
    </row>
    <row r="400" spans="1:15" s="6" customFormat="1" ht="13.05" customHeight="1">
      <c r="A400" s="8">
        <v>395</v>
      </c>
      <c r="B400" s="31" t="s">
        <v>2004</v>
      </c>
      <c r="C400" s="41" t="s">
        <v>2213</v>
      </c>
      <c r="D400" s="13" t="s">
        <v>2005</v>
      </c>
      <c r="E400" s="9" t="s">
        <v>35</v>
      </c>
      <c r="F400" s="9" t="s">
        <v>2397</v>
      </c>
      <c r="G400" s="9" t="s">
        <v>25</v>
      </c>
      <c r="H400" s="9" t="s">
        <v>290</v>
      </c>
      <c r="I400" s="15" t="s">
        <v>2038</v>
      </c>
      <c r="J400" s="11">
        <v>34138</v>
      </c>
      <c r="K400" s="9" t="str">
        <f t="shared" ca="1" si="6"/>
        <v>33 tahun, 1 bulan</v>
      </c>
      <c r="L400" s="12"/>
      <c r="M400" s="12" t="s">
        <v>2007</v>
      </c>
      <c r="N400" s="12"/>
      <c r="O400" s="12" t="s">
        <v>2006</v>
      </c>
    </row>
    <row r="401" spans="1:15" s="6" customFormat="1" ht="13.05" customHeight="1">
      <c r="A401" s="8">
        <v>396</v>
      </c>
      <c r="B401" s="30" t="s">
        <v>2443</v>
      </c>
      <c r="C401" s="10" t="s">
        <v>2050</v>
      </c>
      <c r="D401" s="13" t="s">
        <v>2637</v>
      </c>
      <c r="E401" s="9" t="s">
        <v>32</v>
      </c>
      <c r="F401" s="9" t="s">
        <v>2397</v>
      </c>
      <c r="G401" s="9" t="s">
        <v>2662</v>
      </c>
      <c r="H401" s="9" t="s">
        <v>13</v>
      </c>
      <c r="I401" s="15" t="s">
        <v>1825</v>
      </c>
      <c r="J401" s="11">
        <v>20087</v>
      </c>
      <c r="K401" s="9" t="str">
        <f t="shared" ca="1" si="6"/>
        <v>71 tahun, 7 bulan</v>
      </c>
      <c r="L401" s="12" t="s">
        <v>714</v>
      </c>
      <c r="M401" s="12" t="s">
        <v>715</v>
      </c>
      <c r="N401" s="12" t="s">
        <v>716</v>
      </c>
      <c r="O401" s="12" t="s">
        <v>717</v>
      </c>
    </row>
    <row r="402" spans="1:15" s="6" customFormat="1" ht="13.05" customHeight="1">
      <c r="A402" s="8">
        <v>397</v>
      </c>
      <c r="B402" s="30" t="s">
        <v>79</v>
      </c>
      <c r="C402" s="10" t="s">
        <v>2278</v>
      </c>
      <c r="D402" s="13" t="s">
        <v>78</v>
      </c>
      <c r="E402" s="9" t="s">
        <v>32</v>
      </c>
      <c r="F402" s="9" t="s">
        <v>29</v>
      </c>
      <c r="G402" s="9" t="s">
        <v>25</v>
      </c>
      <c r="H402" s="9" t="s">
        <v>13</v>
      </c>
      <c r="I402" s="15" t="s">
        <v>1829</v>
      </c>
      <c r="J402" s="11">
        <v>22761</v>
      </c>
      <c r="K402" s="9" t="str">
        <f t="shared" ca="1" si="6"/>
        <v>64 tahun, 3 bulan</v>
      </c>
      <c r="L402" s="12" t="s">
        <v>1718</v>
      </c>
      <c r="M402" s="12" t="s">
        <v>1719</v>
      </c>
      <c r="N402" s="12"/>
      <c r="O402" s="12" t="s">
        <v>1720</v>
      </c>
    </row>
    <row r="403" spans="1:15" s="6" customFormat="1" ht="13.05" customHeight="1">
      <c r="A403" s="8">
        <v>398</v>
      </c>
      <c r="B403" s="30" t="s">
        <v>93</v>
      </c>
      <c r="C403" s="10" t="s">
        <v>2279</v>
      </c>
      <c r="D403" s="13" t="s">
        <v>92</v>
      </c>
      <c r="E403" s="9" t="s">
        <v>32</v>
      </c>
      <c r="F403" s="9" t="s">
        <v>29</v>
      </c>
      <c r="G403" s="9" t="s">
        <v>25</v>
      </c>
      <c r="H403" s="9" t="s">
        <v>13</v>
      </c>
      <c r="I403" s="15" t="s">
        <v>1825</v>
      </c>
      <c r="J403" s="11">
        <v>22983</v>
      </c>
      <c r="K403" s="9" t="str">
        <f t="shared" ca="1" si="6"/>
        <v>63 tahun, 7 bulan</v>
      </c>
      <c r="L403" s="12"/>
      <c r="M403" s="12"/>
      <c r="N403" s="12"/>
      <c r="O403" s="12"/>
    </row>
    <row r="404" spans="1:15" s="6" customFormat="1" ht="13.05" customHeight="1">
      <c r="A404" s="8">
        <v>399</v>
      </c>
      <c r="B404" s="30" t="s">
        <v>106</v>
      </c>
      <c r="C404" s="10" t="s">
        <v>2197</v>
      </c>
      <c r="D404" s="13" t="s">
        <v>105</v>
      </c>
      <c r="E404" s="9" t="s">
        <v>32</v>
      </c>
      <c r="F404" s="9" t="s">
        <v>29</v>
      </c>
      <c r="G404" s="9" t="s">
        <v>25</v>
      </c>
      <c r="H404" s="9" t="s">
        <v>13</v>
      </c>
      <c r="I404" s="15" t="s">
        <v>1883</v>
      </c>
      <c r="J404" s="11">
        <v>23152</v>
      </c>
      <c r="K404" s="9" t="str">
        <f t="shared" ca="1" si="6"/>
        <v>63 tahun, 2 bulan</v>
      </c>
      <c r="L404" s="12" t="s">
        <v>1724</v>
      </c>
      <c r="M404" s="12" t="s">
        <v>1725</v>
      </c>
      <c r="N404" s="12"/>
      <c r="O404" s="12" t="s">
        <v>1726</v>
      </c>
    </row>
    <row r="405" spans="1:15" s="6" customFormat="1" ht="13.05" customHeight="1">
      <c r="A405" s="8">
        <v>400</v>
      </c>
      <c r="B405" s="31" t="s">
        <v>140</v>
      </c>
      <c r="C405" s="41" t="s">
        <v>2276</v>
      </c>
      <c r="D405" s="13" t="s">
        <v>139</v>
      </c>
      <c r="E405" s="9" t="s">
        <v>32</v>
      </c>
      <c r="F405" s="9" t="s">
        <v>29</v>
      </c>
      <c r="G405" s="9" t="s">
        <v>25</v>
      </c>
      <c r="H405" s="9" t="s">
        <v>13</v>
      </c>
      <c r="I405" s="15" t="s">
        <v>1825</v>
      </c>
      <c r="J405" s="11">
        <v>23976</v>
      </c>
      <c r="K405" s="9" t="str">
        <f t="shared" ca="1" si="6"/>
        <v>60 tahun, 11 bulan</v>
      </c>
      <c r="L405" s="12" t="s">
        <v>1490</v>
      </c>
      <c r="M405" s="12" t="s">
        <v>1491</v>
      </c>
      <c r="N405" s="12"/>
      <c r="O405" s="12"/>
    </row>
    <row r="406" spans="1:15" s="6" customFormat="1" ht="13.05" customHeight="1">
      <c r="A406" s="8">
        <v>401</v>
      </c>
      <c r="B406" s="31" t="s">
        <v>174</v>
      </c>
      <c r="C406" s="41" t="s">
        <v>2275</v>
      </c>
      <c r="D406" s="13" t="s">
        <v>173</v>
      </c>
      <c r="E406" s="9" t="s">
        <v>32</v>
      </c>
      <c r="F406" s="9" t="s">
        <v>29</v>
      </c>
      <c r="G406" s="9" t="s">
        <v>25</v>
      </c>
      <c r="H406" s="9" t="s">
        <v>13</v>
      </c>
      <c r="I406" s="15" t="s">
        <v>1825</v>
      </c>
      <c r="J406" s="11">
        <v>24426</v>
      </c>
      <c r="K406" s="9" t="str">
        <f t="shared" ca="1" si="6"/>
        <v>59 tahun, 8 bulan</v>
      </c>
      <c r="L406" s="12" t="s">
        <v>1512</v>
      </c>
      <c r="M406" s="12" t="s">
        <v>1513</v>
      </c>
      <c r="N406" s="12"/>
      <c r="O406" s="12" t="s">
        <v>1514</v>
      </c>
    </row>
    <row r="407" spans="1:15" s="6" customFormat="1" ht="13.05" customHeight="1">
      <c r="A407" s="8">
        <v>402</v>
      </c>
      <c r="B407" s="30" t="s">
        <v>199</v>
      </c>
      <c r="C407" s="10" t="s">
        <v>2186</v>
      </c>
      <c r="D407" s="13" t="s">
        <v>198</v>
      </c>
      <c r="E407" s="9" t="s">
        <v>32</v>
      </c>
      <c r="F407" s="9" t="s">
        <v>29</v>
      </c>
      <c r="G407" s="9" t="s">
        <v>25</v>
      </c>
      <c r="H407" s="9" t="s">
        <v>13</v>
      </c>
      <c r="I407" s="15" t="s">
        <v>1837</v>
      </c>
      <c r="J407" s="11">
        <v>25055</v>
      </c>
      <c r="K407" s="9" t="str">
        <f t="shared" ca="1" si="6"/>
        <v>57 tahun, 11 bulan</v>
      </c>
      <c r="L407" s="12" t="s">
        <v>1747</v>
      </c>
      <c r="M407" s="12" t="s">
        <v>1748</v>
      </c>
      <c r="N407" s="12"/>
      <c r="O407" s="12" t="s">
        <v>1749</v>
      </c>
    </row>
    <row r="408" spans="1:15" s="6" customFormat="1" ht="13.05" customHeight="1">
      <c r="A408" s="8">
        <v>403</v>
      </c>
      <c r="B408" s="30" t="s">
        <v>231</v>
      </c>
      <c r="C408" s="10" t="s">
        <v>2273</v>
      </c>
      <c r="D408" s="13" t="s">
        <v>2042</v>
      </c>
      <c r="E408" s="9" t="s">
        <v>32</v>
      </c>
      <c r="F408" s="9" t="s">
        <v>2397</v>
      </c>
      <c r="G408" s="9" t="s">
        <v>25</v>
      </c>
      <c r="H408" s="9" t="s">
        <v>13</v>
      </c>
      <c r="I408" s="15" t="s">
        <v>1825</v>
      </c>
      <c r="J408" s="11">
        <v>25484</v>
      </c>
      <c r="K408" s="9" t="str">
        <f t="shared" ca="1" si="6"/>
        <v>56 tahun, 9 bulan</v>
      </c>
      <c r="L408" s="12" t="s">
        <v>810</v>
      </c>
      <c r="M408" s="12" t="s">
        <v>811</v>
      </c>
      <c r="N408" s="12" t="s">
        <v>812</v>
      </c>
      <c r="O408" s="12" t="s">
        <v>813</v>
      </c>
    </row>
    <row r="409" spans="1:15" s="6" customFormat="1" ht="13.05" customHeight="1">
      <c r="A409" s="8">
        <v>404</v>
      </c>
      <c r="B409" s="30" t="s">
        <v>1890</v>
      </c>
      <c r="C409" s="10" t="s">
        <v>2277</v>
      </c>
      <c r="D409" s="13" t="s">
        <v>336</v>
      </c>
      <c r="E409" s="9" t="s">
        <v>32</v>
      </c>
      <c r="F409" s="9" t="s">
        <v>29</v>
      </c>
      <c r="G409" s="9" t="s">
        <v>25</v>
      </c>
      <c r="H409" s="9" t="s">
        <v>15</v>
      </c>
      <c r="I409" s="15" t="s">
        <v>1825</v>
      </c>
      <c r="J409" s="11">
        <v>27388</v>
      </c>
      <c r="K409" s="9" t="str">
        <f t="shared" ca="1" si="6"/>
        <v>51 tahun, 7 bulan</v>
      </c>
      <c r="L409" s="12"/>
      <c r="M409" s="12"/>
      <c r="N409" s="12"/>
      <c r="O409" s="12"/>
    </row>
    <row r="410" spans="1:15" s="6" customFormat="1" ht="13.05" customHeight="1">
      <c r="A410" s="8">
        <v>405</v>
      </c>
      <c r="B410" s="30" t="s">
        <v>440</v>
      </c>
      <c r="C410" s="10" t="s">
        <v>2180</v>
      </c>
      <c r="D410" s="13" t="s">
        <v>439</v>
      </c>
      <c r="E410" s="9" t="s">
        <v>32</v>
      </c>
      <c r="F410" s="9" t="s">
        <v>29</v>
      </c>
      <c r="G410" s="9" t="s">
        <v>25</v>
      </c>
      <c r="H410" s="9" t="s">
        <v>15</v>
      </c>
      <c r="I410" s="15" t="s">
        <v>1869</v>
      </c>
      <c r="J410" s="11">
        <v>28656</v>
      </c>
      <c r="K410" s="9" t="str">
        <f t="shared" ca="1" si="6"/>
        <v>48 tahun, 1 bulan</v>
      </c>
      <c r="L410" s="12" t="s">
        <v>1676</v>
      </c>
      <c r="M410" s="12" t="s">
        <v>1677</v>
      </c>
      <c r="N410" s="12"/>
      <c r="O410" s="12" t="s">
        <v>1678</v>
      </c>
    </row>
    <row r="411" spans="1:15" s="6" customFormat="1" ht="13.05" customHeight="1">
      <c r="A411" s="8">
        <v>406</v>
      </c>
      <c r="B411" s="30" t="s">
        <v>551</v>
      </c>
      <c r="C411" s="10" t="s">
        <v>2170</v>
      </c>
      <c r="D411" s="13" t="s">
        <v>2444</v>
      </c>
      <c r="E411" s="9" t="s">
        <v>32</v>
      </c>
      <c r="F411" s="9" t="s">
        <v>2397</v>
      </c>
      <c r="G411" s="9" t="s">
        <v>25</v>
      </c>
      <c r="H411" s="9" t="s">
        <v>15</v>
      </c>
      <c r="I411" s="15" t="s">
        <v>1825</v>
      </c>
      <c r="J411" s="11">
        <v>30103</v>
      </c>
      <c r="K411" s="9" t="str">
        <f t="shared" ca="1" si="6"/>
        <v>44 tahun, 1 bulan</v>
      </c>
      <c r="L411" s="12" t="s">
        <v>1155</v>
      </c>
      <c r="M411" s="12" t="s">
        <v>1156</v>
      </c>
      <c r="N411" s="12"/>
      <c r="O411" s="12" t="s">
        <v>1157</v>
      </c>
    </row>
    <row r="412" spans="1:15" s="6" customFormat="1" ht="13.05" customHeight="1">
      <c r="A412" s="8">
        <v>407</v>
      </c>
      <c r="B412" s="30" t="s">
        <v>665</v>
      </c>
      <c r="C412" s="10" t="s">
        <v>2274</v>
      </c>
      <c r="D412" s="13" t="s">
        <v>664</v>
      </c>
      <c r="E412" s="9" t="s">
        <v>32</v>
      </c>
      <c r="F412" s="9" t="s">
        <v>2397</v>
      </c>
      <c r="G412" s="9" t="s">
        <v>25</v>
      </c>
      <c r="H412" s="9" t="s">
        <v>15</v>
      </c>
      <c r="I412" s="15" t="s">
        <v>1857</v>
      </c>
      <c r="J412" s="11">
        <v>32731</v>
      </c>
      <c r="K412" s="9" t="str">
        <f t="shared" ca="1" si="6"/>
        <v>36 tahun, 11 bulan</v>
      </c>
      <c r="L412" s="12" t="s">
        <v>1398</v>
      </c>
      <c r="M412" s="12" t="s">
        <v>1399</v>
      </c>
      <c r="N412" s="12"/>
      <c r="O412" s="12" t="s">
        <v>1400</v>
      </c>
    </row>
    <row r="413" spans="1:15" s="6" customFormat="1" ht="13.05" customHeight="1">
      <c r="A413" s="8">
        <v>408</v>
      </c>
      <c r="B413" s="30" t="s">
        <v>227</v>
      </c>
      <c r="C413" s="10" t="s">
        <v>2321</v>
      </c>
      <c r="D413" s="13" t="s">
        <v>226</v>
      </c>
      <c r="E413" s="9" t="s">
        <v>46</v>
      </c>
      <c r="F413" s="9" t="s">
        <v>29</v>
      </c>
      <c r="G413" s="9" t="s">
        <v>25</v>
      </c>
      <c r="H413" s="9" t="s">
        <v>13</v>
      </c>
      <c r="I413" s="15" t="s">
        <v>1894</v>
      </c>
      <c r="J413" s="11">
        <v>25446</v>
      </c>
      <c r="K413" s="9" t="str">
        <f t="shared" ca="1" si="6"/>
        <v>56 tahun, 10 bulan</v>
      </c>
      <c r="L413" s="12" t="s">
        <v>1754</v>
      </c>
      <c r="M413" s="12" t="s">
        <v>1755</v>
      </c>
      <c r="N413" s="12"/>
      <c r="O413" s="12" t="s">
        <v>1756</v>
      </c>
    </row>
    <row r="414" spans="1:15" s="6" customFormat="1" ht="13.05" customHeight="1">
      <c r="A414" s="8">
        <v>409</v>
      </c>
      <c r="B414" s="30" t="s">
        <v>289</v>
      </c>
      <c r="C414" s="10" t="s">
        <v>2227</v>
      </c>
      <c r="D414" s="13" t="s">
        <v>288</v>
      </c>
      <c r="E414" s="9" t="s">
        <v>46</v>
      </c>
      <c r="F414" s="9" t="s">
        <v>29</v>
      </c>
      <c r="G414" s="9" t="s">
        <v>25</v>
      </c>
      <c r="H414" s="9" t="s">
        <v>290</v>
      </c>
      <c r="I414" s="15" t="s">
        <v>1824</v>
      </c>
      <c r="J414" s="11">
        <v>26422</v>
      </c>
      <c r="K414" s="9" t="str">
        <f t="shared" ca="1" si="6"/>
        <v>54 tahun, 2 bulan</v>
      </c>
      <c r="L414" s="12"/>
      <c r="M414" s="12"/>
      <c r="N414" s="12"/>
      <c r="O414" s="12"/>
    </row>
    <row r="415" spans="1:15" s="6" customFormat="1" ht="13.05" customHeight="1">
      <c r="A415" s="8">
        <v>410</v>
      </c>
      <c r="B415" s="30" t="s">
        <v>358</v>
      </c>
      <c r="C415" s="10" t="s">
        <v>2319</v>
      </c>
      <c r="D415" s="13" t="s">
        <v>357</v>
      </c>
      <c r="E415" s="9" t="s">
        <v>46</v>
      </c>
      <c r="F415" s="9" t="s">
        <v>29</v>
      </c>
      <c r="G415" s="9" t="s">
        <v>25</v>
      </c>
      <c r="H415" s="9" t="s">
        <v>13</v>
      </c>
      <c r="I415" s="15" t="s">
        <v>1824</v>
      </c>
      <c r="J415" s="11">
        <v>27602</v>
      </c>
      <c r="K415" s="9" t="str">
        <f t="shared" ca="1" si="6"/>
        <v>51 tahun, 0 bulan</v>
      </c>
      <c r="L415" s="12" t="s">
        <v>1774</v>
      </c>
      <c r="M415" s="12" t="s">
        <v>1775</v>
      </c>
      <c r="N415" s="12"/>
      <c r="O415" s="12" t="s">
        <v>1776</v>
      </c>
    </row>
    <row r="416" spans="1:15" s="6" customFormat="1" ht="13.05" customHeight="1">
      <c r="A416" s="8">
        <v>411</v>
      </c>
      <c r="B416" s="30" t="s">
        <v>365</v>
      </c>
      <c r="C416" s="10" t="s">
        <v>2322</v>
      </c>
      <c r="D416" s="13" t="s">
        <v>364</v>
      </c>
      <c r="E416" s="9" t="s">
        <v>46</v>
      </c>
      <c r="F416" s="9" t="s">
        <v>29</v>
      </c>
      <c r="G416" s="9" t="s">
        <v>25</v>
      </c>
      <c r="H416" s="9" t="s">
        <v>15</v>
      </c>
      <c r="I416" s="15" t="s">
        <v>1867</v>
      </c>
      <c r="J416" s="11">
        <v>27669</v>
      </c>
      <c r="K416" s="9" t="str">
        <f t="shared" ca="1" si="6"/>
        <v>50 tahun, 9 bulan</v>
      </c>
      <c r="L416" s="12" t="s">
        <v>1777</v>
      </c>
      <c r="M416" s="12" t="s">
        <v>1778</v>
      </c>
      <c r="N416" s="12" t="s">
        <v>1779</v>
      </c>
      <c r="O416" s="12" t="s">
        <v>1780</v>
      </c>
    </row>
    <row r="417" spans="1:15" s="6" customFormat="1" ht="13.05" customHeight="1">
      <c r="A417" s="8">
        <v>412</v>
      </c>
      <c r="B417" s="30" t="s">
        <v>383</v>
      </c>
      <c r="C417" s="10" t="s">
        <v>2320</v>
      </c>
      <c r="D417" s="13" t="s">
        <v>382</v>
      </c>
      <c r="E417" s="9" t="s">
        <v>46</v>
      </c>
      <c r="F417" s="9" t="s">
        <v>29</v>
      </c>
      <c r="G417" s="9" t="s">
        <v>25</v>
      </c>
      <c r="H417" s="9" t="s">
        <v>15</v>
      </c>
      <c r="I417" s="15" t="s">
        <v>1825</v>
      </c>
      <c r="J417" s="11">
        <v>27853</v>
      </c>
      <c r="K417" s="9" t="str">
        <f t="shared" ca="1" si="6"/>
        <v>50 tahun, 3 bulan</v>
      </c>
      <c r="L417" s="12" t="s">
        <v>1781</v>
      </c>
      <c r="M417" s="12" t="s">
        <v>1782</v>
      </c>
      <c r="N417" s="12"/>
      <c r="O417" s="12" t="s">
        <v>1783</v>
      </c>
    </row>
    <row r="418" spans="1:15" s="6" customFormat="1" ht="13.05" customHeight="1">
      <c r="A418" s="8">
        <v>413</v>
      </c>
      <c r="B418" s="30" t="s">
        <v>400</v>
      </c>
      <c r="C418" s="10" t="s">
        <v>2323</v>
      </c>
      <c r="D418" s="13" t="s">
        <v>399</v>
      </c>
      <c r="E418" s="9" t="s">
        <v>46</v>
      </c>
      <c r="F418" s="9" t="s">
        <v>29</v>
      </c>
      <c r="G418" s="9" t="s">
        <v>25</v>
      </c>
      <c r="H418" s="9" t="s">
        <v>13</v>
      </c>
      <c r="I418" s="15" t="s">
        <v>1844</v>
      </c>
      <c r="J418" s="11">
        <v>28052</v>
      </c>
      <c r="K418" s="9" t="str">
        <f t="shared" ca="1" si="6"/>
        <v>49 tahun, 9 bulan</v>
      </c>
      <c r="L418" s="12" t="s">
        <v>1791</v>
      </c>
      <c r="M418" s="12" t="s">
        <v>1792</v>
      </c>
      <c r="N418" s="12"/>
      <c r="O418" s="12" t="s">
        <v>1793</v>
      </c>
    </row>
    <row r="419" spans="1:15" s="6" customFormat="1" ht="13.05" customHeight="1">
      <c r="A419" s="8">
        <v>414</v>
      </c>
      <c r="B419" s="30" t="s">
        <v>699</v>
      </c>
      <c r="C419" s="10" t="s">
        <v>2317</v>
      </c>
      <c r="D419" s="13" t="s">
        <v>410</v>
      </c>
      <c r="E419" s="9" t="s">
        <v>46</v>
      </c>
      <c r="F419" s="9" t="s">
        <v>2397</v>
      </c>
      <c r="G419" s="9" t="s">
        <v>25</v>
      </c>
      <c r="H419" s="9" t="s">
        <v>15</v>
      </c>
      <c r="I419" s="15" t="s">
        <v>1872</v>
      </c>
      <c r="J419" s="11">
        <v>28298</v>
      </c>
      <c r="K419" s="9" t="str">
        <f t="shared" ca="1" si="6"/>
        <v>49 tahun, 1 bulan</v>
      </c>
      <c r="L419" s="12" t="s">
        <v>1061</v>
      </c>
      <c r="M419" s="12" t="s">
        <v>1062</v>
      </c>
      <c r="N419" s="12" t="s">
        <v>1063</v>
      </c>
      <c r="O419" s="12" t="s">
        <v>1064</v>
      </c>
    </row>
    <row r="420" spans="1:15" s="6" customFormat="1" ht="13.05" customHeight="1">
      <c r="A420" s="8">
        <v>415</v>
      </c>
      <c r="B420" s="30" t="s">
        <v>532</v>
      </c>
      <c r="C420" s="10" t="s">
        <v>2318</v>
      </c>
      <c r="D420" s="13" t="s">
        <v>531</v>
      </c>
      <c r="E420" s="9" t="s">
        <v>46</v>
      </c>
      <c r="F420" s="9" t="s">
        <v>29</v>
      </c>
      <c r="G420" s="9" t="s">
        <v>25</v>
      </c>
      <c r="H420" s="9" t="s">
        <v>290</v>
      </c>
      <c r="I420" s="15" t="s">
        <v>1824</v>
      </c>
      <c r="J420" s="11">
        <v>29704</v>
      </c>
      <c r="K420" s="9" t="str">
        <f t="shared" ca="1" si="6"/>
        <v>45 tahun, 3 bulan</v>
      </c>
      <c r="L420" s="12"/>
      <c r="M420" s="12"/>
      <c r="N420" s="12"/>
      <c r="O420" s="12"/>
    </row>
    <row r="421" spans="1:15" s="6" customFormat="1" ht="13.05" customHeight="1">
      <c r="A421" s="8">
        <v>416</v>
      </c>
      <c r="B421" s="30" t="s">
        <v>558</v>
      </c>
      <c r="C421" s="10" t="s">
        <v>2324</v>
      </c>
      <c r="D421" s="13" t="s">
        <v>557</v>
      </c>
      <c r="E421" s="9" t="s">
        <v>46</v>
      </c>
      <c r="F421" s="9" t="s">
        <v>2397</v>
      </c>
      <c r="G421" s="9" t="s">
        <v>57</v>
      </c>
      <c r="H421" s="9" t="s">
        <v>290</v>
      </c>
      <c r="I421" s="15" t="s">
        <v>1828</v>
      </c>
      <c r="J421" s="11">
        <v>30329</v>
      </c>
      <c r="K421" s="9" t="str">
        <f t="shared" ca="1" si="6"/>
        <v>43 tahun, 6 bulan</v>
      </c>
      <c r="L421" s="12" t="s">
        <v>1270</v>
      </c>
      <c r="M421" s="12" t="s">
        <v>1271</v>
      </c>
      <c r="N421" s="12" t="s">
        <v>1272</v>
      </c>
      <c r="O421" s="12" t="s">
        <v>1273</v>
      </c>
    </row>
    <row r="422" spans="1:15" s="6" customFormat="1" ht="13.05" customHeight="1">
      <c r="A422" s="8">
        <v>417</v>
      </c>
      <c r="B422" s="30" t="s">
        <v>566</v>
      </c>
      <c r="C422" s="41" t="s">
        <v>2633</v>
      </c>
      <c r="D422" s="13" t="s">
        <v>565</v>
      </c>
      <c r="E422" s="9" t="s">
        <v>46</v>
      </c>
      <c r="F422" s="9" t="s">
        <v>2397</v>
      </c>
      <c r="G422" s="9" t="s">
        <v>25</v>
      </c>
      <c r="H422" s="9" t="s">
        <v>290</v>
      </c>
      <c r="I422" s="15" t="s">
        <v>1825</v>
      </c>
      <c r="J422" s="11">
        <v>30501</v>
      </c>
      <c r="K422" s="9" t="str">
        <f t="shared" ca="1" si="6"/>
        <v>43 tahun, 0 bulan</v>
      </c>
      <c r="L422" s="12" t="s">
        <v>1355</v>
      </c>
      <c r="M422" s="12" t="s">
        <v>1356</v>
      </c>
      <c r="N422" s="12" t="s">
        <v>1357</v>
      </c>
      <c r="O422" s="12" t="s">
        <v>1358</v>
      </c>
    </row>
    <row r="423" spans="1:15" s="6" customFormat="1" ht="13.05" customHeight="1">
      <c r="A423" s="8">
        <v>418</v>
      </c>
      <c r="B423" s="30" t="s">
        <v>2451</v>
      </c>
      <c r="C423" s="10" t="s">
        <v>2453</v>
      </c>
      <c r="D423" s="13" t="s">
        <v>2452</v>
      </c>
      <c r="E423" s="9" t="s">
        <v>54</v>
      </c>
      <c r="F423" s="9" t="s">
        <v>2397</v>
      </c>
      <c r="G423" s="9" t="s">
        <v>25</v>
      </c>
      <c r="H423" s="9" t="s">
        <v>15</v>
      </c>
      <c r="I423" s="15" t="s">
        <v>2454</v>
      </c>
      <c r="J423" s="11">
        <v>34080</v>
      </c>
      <c r="K423" s="9" t="str">
        <f t="shared" ca="1" si="6"/>
        <v>33 tahun, 3 bulan</v>
      </c>
      <c r="L423" s="12" t="s">
        <v>2455</v>
      </c>
      <c r="M423" s="12" t="s">
        <v>2456</v>
      </c>
      <c r="N423" s="12"/>
      <c r="O423" s="12"/>
    </row>
    <row r="424" spans="1:15" s="6" customFormat="1" ht="13.05" customHeight="1">
      <c r="A424" s="8">
        <v>419</v>
      </c>
      <c r="B424" s="30" t="s">
        <v>2457</v>
      </c>
      <c r="C424" s="10" t="s">
        <v>2459</v>
      </c>
      <c r="D424" s="13" t="s">
        <v>2458</v>
      </c>
      <c r="E424" s="9" t="s">
        <v>24</v>
      </c>
      <c r="F424" s="9" t="s">
        <v>2397</v>
      </c>
      <c r="G424" s="9" t="s">
        <v>25</v>
      </c>
      <c r="H424" s="9" t="s">
        <v>15</v>
      </c>
      <c r="I424" s="15" t="s">
        <v>1843</v>
      </c>
      <c r="J424" s="11">
        <v>35995</v>
      </c>
      <c r="K424" s="9" t="str">
        <f t="shared" ca="1" si="6"/>
        <v>28 tahun, 0 bulan</v>
      </c>
      <c r="L424" s="12" t="s">
        <v>2460</v>
      </c>
      <c r="M424" s="12" t="s">
        <v>2461</v>
      </c>
      <c r="N424" s="12"/>
      <c r="O424" s="12"/>
    </row>
    <row r="425" spans="1:15" s="6" customFormat="1" ht="13.05" customHeight="1">
      <c r="A425" s="8">
        <v>420</v>
      </c>
      <c r="B425" s="31" t="s">
        <v>2462</v>
      </c>
      <c r="C425" s="10" t="s">
        <v>2464</v>
      </c>
      <c r="D425" s="13" t="s">
        <v>2463</v>
      </c>
      <c r="E425" s="9" t="s">
        <v>16</v>
      </c>
      <c r="F425" s="9" t="s">
        <v>2397</v>
      </c>
      <c r="G425" s="9" t="s">
        <v>25</v>
      </c>
      <c r="H425" s="9" t="s">
        <v>13</v>
      </c>
      <c r="I425" s="15" t="s">
        <v>1845</v>
      </c>
      <c r="J425" s="11">
        <v>32022</v>
      </c>
      <c r="K425" s="9" t="str">
        <f t="shared" ca="1" si="6"/>
        <v>38 tahun, 10 bulan</v>
      </c>
      <c r="L425" s="12" t="s">
        <v>2465</v>
      </c>
      <c r="M425" s="12" t="s">
        <v>2466</v>
      </c>
      <c r="N425" s="12"/>
      <c r="O425" s="12"/>
    </row>
    <row r="426" spans="1:15" s="6" customFormat="1" ht="13.05" customHeight="1">
      <c r="A426" s="8">
        <v>421</v>
      </c>
      <c r="B426" s="30" t="s">
        <v>2467</v>
      </c>
      <c r="C426" s="10" t="s">
        <v>2469</v>
      </c>
      <c r="D426" s="13" t="s">
        <v>2468</v>
      </c>
      <c r="E426" s="9" t="s">
        <v>28</v>
      </c>
      <c r="F426" s="9" t="s">
        <v>2397</v>
      </c>
      <c r="G426" s="9" t="s">
        <v>25</v>
      </c>
      <c r="H426" s="9" t="s">
        <v>13</v>
      </c>
      <c r="I426" s="15" t="s">
        <v>1825</v>
      </c>
      <c r="J426" s="11">
        <v>31581</v>
      </c>
      <c r="K426" s="9" t="str">
        <f t="shared" ca="1" si="6"/>
        <v>40 tahun, 1 bulan</v>
      </c>
      <c r="L426" s="12" t="s">
        <v>2470</v>
      </c>
      <c r="M426" s="12" t="s">
        <v>2471</v>
      </c>
      <c r="N426" s="12"/>
      <c r="O426" s="12"/>
    </row>
    <row r="427" spans="1:15" s="6" customFormat="1" ht="13.05" customHeight="1">
      <c r="A427" s="8">
        <v>422</v>
      </c>
      <c r="B427" s="30" t="s">
        <v>2472</v>
      </c>
      <c r="C427" s="10" t="s">
        <v>2474</v>
      </c>
      <c r="D427" s="13" t="s">
        <v>2473</v>
      </c>
      <c r="E427" s="9" t="s">
        <v>31</v>
      </c>
      <c r="F427" s="9" t="s">
        <v>2397</v>
      </c>
      <c r="G427" s="9" t="s">
        <v>25</v>
      </c>
      <c r="H427" s="9" t="s">
        <v>15</v>
      </c>
      <c r="I427" s="15" t="s">
        <v>1825</v>
      </c>
      <c r="J427" s="11">
        <v>33042</v>
      </c>
      <c r="K427" s="9" t="str">
        <f t="shared" ca="1" si="6"/>
        <v>36 tahun, 1 bulan</v>
      </c>
      <c r="L427" s="12" t="s">
        <v>2475</v>
      </c>
      <c r="M427" s="12" t="s">
        <v>2476</v>
      </c>
      <c r="N427" s="12"/>
      <c r="O427" s="12"/>
    </row>
    <row r="428" spans="1:15" s="6" customFormat="1" ht="13.05" customHeight="1">
      <c r="A428" s="8">
        <v>423</v>
      </c>
      <c r="B428" s="30" t="s">
        <v>2477</v>
      </c>
      <c r="C428" s="10" t="s">
        <v>2479</v>
      </c>
      <c r="D428" s="13" t="s">
        <v>2478</v>
      </c>
      <c r="E428" s="9" t="s">
        <v>31</v>
      </c>
      <c r="F428" s="9" t="s">
        <v>2397</v>
      </c>
      <c r="G428" s="9" t="s">
        <v>25</v>
      </c>
      <c r="H428" s="9" t="s">
        <v>13</v>
      </c>
      <c r="I428" s="15" t="s">
        <v>1825</v>
      </c>
      <c r="J428" s="11">
        <v>33780</v>
      </c>
      <c r="K428" s="9" t="str">
        <f t="shared" ca="1" si="6"/>
        <v>34 tahun, 1 bulan</v>
      </c>
      <c r="L428" s="12" t="s">
        <v>2480</v>
      </c>
      <c r="M428" s="12" t="s">
        <v>2481</v>
      </c>
      <c r="N428" s="12"/>
      <c r="O428" s="12"/>
    </row>
    <row r="429" spans="1:15" s="6" customFormat="1" ht="13.05" customHeight="1">
      <c r="A429" s="8">
        <v>424</v>
      </c>
      <c r="B429" s="30" t="s">
        <v>2482</v>
      </c>
      <c r="C429" s="10" t="s">
        <v>2484</v>
      </c>
      <c r="D429" s="13" t="s">
        <v>2483</v>
      </c>
      <c r="E429" s="9" t="s">
        <v>53</v>
      </c>
      <c r="F429" s="9" t="s">
        <v>2397</v>
      </c>
      <c r="G429" s="9" t="s">
        <v>25</v>
      </c>
      <c r="H429" s="9" t="s">
        <v>15</v>
      </c>
      <c r="I429" s="15" t="s">
        <v>2485</v>
      </c>
      <c r="J429" s="11">
        <v>32390</v>
      </c>
      <c r="K429" s="9" t="str">
        <f t="shared" ca="1" si="6"/>
        <v>37 tahun, 10 bulan</v>
      </c>
      <c r="L429" s="12" t="s">
        <v>2486</v>
      </c>
      <c r="M429" s="12" t="s">
        <v>2487</v>
      </c>
      <c r="N429" s="12"/>
      <c r="O429" s="12"/>
    </row>
    <row r="430" spans="1:15" s="6" customFormat="1" ht="13.05" customHeight="1">
      <c r="A430" s="8">
        <v>425</v>
      </c>
      <c r="B430" s="30" t="s">
        <v>2488</v>
      </c>
      <c r="C430" s="10" t="s">
        <v>2490</v>
      </c>
      <c r="D430" s="13" t="s">
        <v>2489</v>
      </c>
      <c r="E430" s="9" t="s">
        <v>53</v>
      </c>
      <c r="F430" s="9" t="s">
        <v>2397</v>
      </c>
      <c r="G430" s="9" t="s">
        <v>25</v>
      </c>
      <c r="H430" s="9" t="s">
        <v>15</v>
      </c>
      <c r="I430" s="15" t="s">
        <v>1825</v>
      </c>
      <c r="J430" s="11">
        <v>33729</v>
      </c>
      <c r="K430" s="9" t="str">
        <f t="shared" ref="K430:K449" ca="1" si="7">DATEDIF(J430,$B$3,"Y")&amp;" tahun, "&amp;DATEDIF(J430,$B$3,"Ym")&amp;" bulan"</f>
        <v>34 tahun, 2 bulan</v>
      </c>
      <c r="L430" s="12" t="s">
        <v>2491</v>
      </c>
      <c r="M430" s="12" t="s">
        <v>2492</v>
      </c>
      <c r="N430" s="12"/>
      <c r="O430" s="12"/>
    </row>
    <row r="431" spans="1:15" s="6" customFormat="1" ht="13.05" customHeight="1">
      <c r="A431" s="8">
        <v>426</v>
      </c>
      <c r="B431" s="30" t="s">
        <v>2493</v>
      </c>
      <c r="C431" s="10" t="s">
        <v>2495</v>
      </c>
      <c r="D431" s="13" t="s">
        <v>2494</v>
      </c>
      <c r="E431" s="9" t="s">
        <v>53</v>
      </c>
      <c r="F431" s="9" t="s">
        <v>2397</v>
      </c>
      <c r="G431" s="9" t="s">
        <v>25</v>
      </c>
      <c r="H431" s="9" t="s">
        <v>15</v>
      </c>
      <c r="I431" s="15" t="s">
        <v>1844</v>
      </c>
      <c r="J431" s="11">
        <v>33271</v>
      </c>
      <c r="K431" s="9" t="str">
        <f t="shared" ca="1" si="7"/>
        <v>35 tahun, 5 bulan</v>
      </c>
      <c r="L431" s="12" t="s">
        <v>2496</v>
      </c>
      <c r="M431" s="12" t="s">
        <v>2497</v>
      </c>
      <c r="N431" s="12"/>
      <c r="O431" s="12"/>
    </row>
    <row r="432" spans="1:15" s="6" customFormat="1" ht="13.05" customHeight="1">
      <c r="A432" s="8">
        <v>427</v>
      </c>
      <c r="B432" s="30" t="s">
        <v>2498</v>
      </c>
      <c r="C432" s="10" t="s">
        <v>2500</v>
      </c>
      <c r="D432" s="13" t="s">
        <v>2499</v>
      </c>
      <c r="E432" s="9" t="s">
        <v>53</v>
      </c>
      <c r="F432" s="9" t="s">
        <v>2397</v>
      </c>
      <c r="G432" s="9" t="s">
        <v>25</v>
      </c>
      <c r="H432" s="9" t="s">
        <v>13</v>
      </c>
      <c r="I432" s="15" t="s">
        <v>1825</v>
      </c>
      <c r="J432" s="11">
        <v>33866</v>
      </c>
      <c r="K432" s="9" t="str">
        <f t="shared" ca="1" si="7"/>
        <v>33 tahun, 10 bulan</v>
      </c>
      <c r="L432" s="12" t="s">
        <v>2501</v>
      </c>
      <c r="M432" s="12" t="s">
        <v>2502</v>
      </c>
      <c r="N432" s="12"/>
      <c r="O432" s="12"/>
    </row>
    <row r="433" spans="1:15" s="6" customFormat="1" ht="13.05" customHeight="1">
      <c r="A433" s="8">
        <v>428</v>
      </c>
      <c r="B433" s="30" t="s">
        <v>2503</v>
      </c>
      <c r="C433" s="10" t="s">
        <v>2505</v>
      </c>
      <c r="D433" s="13" t="s">
        <v>2504</v>
      </c>
      <c r="E433" s="9" t="s">
        <v>143</v>
      </c>
      <c r="F433" s="9" t="s">
        <v>2397</v>
      </c>
      <c r="G433" s="9" t="s">
        <v>25</v>
      </c>
      <c r="H433" s="9" t="s">
        <v>15</v>
      </c>
      <c r="I433" s="15" t="s">
        <v>1846</v>
      </c>
      <c r="J433" s="11">
        <v>32554</v>
      </c>
      <c r="K433" s="9" t="str">
        <f t="shared" ca="1" si="7"/>
        <v>37 tahun, 5 bulan</v>
      </c>
      <c r="L433" s="12" t="s">
        <v>2506</v>
      </c>
      <c r="M433" s="12" t="s">
        <v>2507</v>
      </c>
      <c r="N433" s="12"/>
      <c r="O433" s="12"/>
    </row>
    <row r="434" spans="1:15" s="6" customFormat="1" ht="13.05" customHeight="1">
      <c r="A434" s="8">
        <v>429</v>
      </c>
      <c r="B434" s="30" t="s">
        <v>2508</v>
      </c>
      <c r="C434" s="10" t="s">
        <v>2510</v>
      </c>
      <c r="D434" s="13" t="s">
        <v>2509</v>
      </c>
      <c r="E434" s="9" t="s">
        <v>14</v>
      </c>
      <c r="F434" s="9" t="s">
        <v>2397</v>
      </c>
      <c r="G434" s="9" t="s">
        <v>25</v>
      </c>
      <c r="H434" s="9" t="s">
        <v>13</v>
      </c>
      <c r="I434" s="15" t="s">
        <v>1825</v>
      </c>
      <c r="J434" s="11">
        <v>33489</v>
      </c>
      <c r="K434" s="9" t="str">
        <f t="shared" ca="1" si="7"/>
        <v>34 tahun, 10 bulan</v>
      </c>
      <c r="L434" s="12" t="s">
        <v>2511</v>
      </c>
      <c r="M434" s="12" t="s">
        <v>2512</v>
      </c>
      <c r="N434" s="12"/>
      <c r="O434" s="12"/>
    </row>
    <row r="435" spans="1:15" s="6" customFormat="1" ht="13.05" customHeight="1">
      <c r="A435" s="8">
        <v>430</v>
      </c>
      <c r="B435" s="30" t="s">
        <v>2513</v>
      </c>
      <c r="C435" s="10" t="s">
        <v>2515</v>
      </c>
      <c r="D435" s="13" t="s">
        <v>2514</v>
      </c>
      <c r="E435" s="9" t="s">
        <v>14</v>
      </c>
      <c r="F435" s="9" t="s">
        <v>2397</v>
      </c>
      <c r="G435" s="9" t="s">
        <v>25</v>
      </c>
      <c r="H435" s="9" t="s">
        <v>13</v>
      </c>
      <c r="I435" s="15" t="s">
        <v>1825</v>
      </c>
      <c r="J435" s="11">
        <v>33058</v>
      </c>
      <c r="K435" s="9" t="str">
        <f t="shared" ca="1" si="7"/>
        <v>36 tahun, 0 bulan</v>
      </c>
      <c r="L435" s="12" t="s">
        <v>2516</v>
      </c>
      <c r="M435" s="12" t="s">
        <v>2517</v>
      </c>
      <c r="N435" s="12"/>
      <c r="O435" s="12"/>
    </row>
    <row r="436" spans="1:15" s="6" customFormat="1" ht="13.05" customHeight="1">
      <c r="A436" s="8">
        <v>431</v>
      </c>
      <c r="B436" s="30" t="s">
        <v>2518</v>
      </c>
      <c r="C436" s="10" t="s">
        <v>2520</v>
      </c>
      <c r="D436" s="13" t="s">
        <v>2519</v>
      </c>
      <c r="E436" s="9" t="s">
        <v>28</v>
      </c>
      <c r="F436" s="9" t="s">
        <v>2397</v>
      </c>
      <c r="G436" s="9" t="s">
        <v>25</v>
      </c>
      <c r="H436" s="9" t="s">
        <v>15</v>
      </c>
      <c r="I436" s="15" t="s">
        <v>1825</v>
      </c>
      <c r="J436" s="11">
        <v>33515</v>
      </c>
      <c r="K436" s="9" t="str">
        <f t="shared" ca="1" si="7"/>
        <v>34 tahun, 9 bulan</v>
      </c>
      <c r="L436" s="12" t="s">
        <v>2521</v>
      </c>
      <c r="M436" s="12" t="s">
        <v>2522</v>
      </c>
      <c r="N436" s="12"/>
      <c r="O436" s="12"/>
    </row>
    <row r="437" spans="1:15" s="6" customFormat="1" ht="13.05" customHeight="1">
      <c r="A437" s="8">
        <v>432</v>
      </c>
      <c r="B437" s="30" t="s">
        <v>2523</v>
      </c>
      <c r="C437" s="10" t="s">
        <v>2525</v>
      </c>
      <c r="D437" s="13" t="s">
        <v>2524</v>
      </c>
      <c r="E437" s="9" t="s">
        <v>28</v>
      </c>
      <c r="F437" s="9" t="s">
        <v>2397</v>
      </c>
      <c r="G437" s="9" t="s">
        <v>25</v>
      </c>
      <c r="H437" s="9" t="s">
        <v>15</v>
      </c>
      <c r="I437" s="15" t="s">
        <v>1825</v>
      </c>
      <c r="J437" s="11">
        <v>33611</v>
      </c>
      <c r="K437" s="9" t="str">
        <f t="shared" ca="1" si="7"/>
        <v>34 tahun, 6 bulan</v>
      </c>
      <c r="L437" s="12" t="s">
        <v>2526</v>
      </c>
      <c r="M437" s="12" t="s">
        <v>2527</v>
      </c>
      <c r="N437" s="12"/>
      <c r="O437" s="12"/>
    </row>
    <row r="438" spans="1:15" s="6" customFormat="1" ht="13.05" customHeight="1">
      <c r="A438" s="8">
        <v>433</v>
      </c>
      <c r="B438" s="30" t="s">
        <v>2528</v>
      </c>
      <c r="C438" s="10" t="s">
        <v>2530</v>
      </c>
      <c r="D438" s="13" t="s">
        <v>2529</v>
      </c>
      <c r="E438" s="9" t="s">
        <v>54</v>
      </c>
      <c r="F438" s="9" t="s">
        <v>2397</v>
      </c>
      <c r="G438" s="9" t="s">
        <v>25</v>
      </c>
      <c r="H438" s="9" t="s">
        <v>13</v>
      </c>
      <c r="I438" s="15" t="s">
        <v>1825</v>
      </c>
      <c r="J438" s="11">
        <v>30498</v>
      </c>
      <c r="K438" s="9" t="str">
        <f t="shared" ca="1" si="7"/>
        <v>43 tahun, 0 bulan</v>
      </c>
      <c r="L438" s="12" t="s">
        <v>2531</v>
      </c>
      <c r="M438" s="12" t="s">
        <v>2532</v>
      </c>
      <c r="N438" s="12"/>
      <c r="O438" s="12"/>
    </row>
    <row r="439" spans="1:15" s="6" customFormat="1" ht="13.05" customHeight="1">
      <c r="A439" s="8">
        <v>434</v>
      </c>
      <c r="B439" s="30" t="s">
        <v>2533</v>
      </c>
      <c r="C439" s="10" t="s">
        <v>2535</v>
      </c>
      <c r="D439" s="13" t="s">
        <v>2534</v>
      </c>
      <c r="E439" s="9" t="s">
        <v>37</v>
      </c>
      <c r="F439" s="9" t="s">
        <v>2397</v>
      </c>
      <c r="G439" s="9" t="s">
        <v>25</v>
      </c>
      <c r="H439" s="9" t="s">
        <v>15</v>
      </c>
      <c r="I439" s="15" t="s">
        <v>1825</v>
      </c>
      <c r="J439" s="11">
        <v>34346</v>
      </c>
      <c r="K439" s="9" t="str">
        <f t="shared" ca="1" si="7"/>
        <v>32 tahun, 6 bulan</v>
      </c>
      <c r="L439" s="12" t="s">
        <v>2536</v>
      </c>
      <c r="M439" s="12" t="s">
        <v>2537</v>
      </c>
      <c r="N439" s="12"/>
      <c r="O439" s="12"/>
    </row>
    <row r="440" spans="1:15" s="6" customFormat="1" ht="13.05" customHeight="1">
      <c r="A440" s="8">
        <v>435</v>
      </c>
      <c r="B440" s="30" t="s">
        <v>2538</v>
      </c>
      <c r="C440" s="10" t="s">
        <v>2540</v>
      </c>
      <c r="D440" s="13" t="s">
        <v>2539</v>
      </c>
      <c r="E440" s="9" t="s">
        <v>37</v>
      </c>
      <c r="F440" s="9" t="s">
        <v>2397</v>
      </c>
      <c r="G440" s="9" t="s">
        <v>25</v>
      </c>
      <c r="H440" s="9" t="s">
        <v>13</v>
      </c>
      <c r="I440" s="15" t="s">
        <v>1825</v>
      </c>
      <c r="J440" s="11">
        <v>33941</v>
      </c>
      <c r="K440" s="9" t="str">
        <f t="shared" ca="1" si="7"/>
        <v>33 tahun, 7 bulan</v>
      </c>
      <c r="L440" s="12"/>
      <c r="M440" s="12"/>
      <c r="N440" s="12"/>
      <c r="O440" s="12"/>
    </row>
    <row r="441" spans="1:15" s="6" customFormat="1" ht="13.05" customHeight="1">
      <c r="A441" s="8">
        <v>436</v>
      </c>
      <c r="B441" s="30" t="s">
        <v>2541</v>
      </c>
      <c r="C441" s="10" t="s">
        <v>2543</v>
      </c>
      <c r="D441" s="13" t="s">
        <v>2542</v>
      </c>
      <c r="E441" s="9" t="s">
        <v>37</v>
      </c>
      <c r="F441" s="9" t="s">
        <v>2397</v>
      </c>
      <c r="G441" s="9" t="s">
        <v>25</v>
      </c>
      <c r="H441" s="9" t="s">
        <v>13</v>
      </c>
      <c r="I441" s="15" t="s">
        <v>1825</v>
      </c>
      <c r="J441" s="11">
        <v>33969</v>
      </c>
      <c r="K441" s="9" t="str">
        <f t="shared" ca="1" si="7"/>
        <v>33 tahun, 6 bulan</v>
      </c>
      <c r="L441" s="12"/>
      <c r="M441" s="12"/>
      <c r="N441" s="12"/>
      <c r="O441" s="12"/>
    </row>
    <row r="442" spans="1:15" s="6" customFormat="1" ht="13.05" customHeight="1">
      <c r="A442" s="8">
        <v>437</v>
      </c>
      <c r="B442" s="30" t="s">
        <v>2544</v>
      </c>
      <c r="C442" s="10" t="s">
        <v>2546</v>
      </c>
      <c r="D442" s="13" t="s">
        <v>2545</v>
      </c>
      <c r="E442" s="9" t="s">
        <v>37</v>
      </c>
      <c r="F442" s="9" t="s">
        <v>2397</v>
      </c>
      <c r="G442" s="9" t="s">
        <v>25</v>
      </c>
      <c r="H442" s="9" t="s">
        <v>13</v>
      </c>
      <c r="I442" s="15" t="s">
        <v>1825</v>
      </c>
      <c r="J442" s="11">
        <v>33260</v>
      </c>
      <c r="K442" s="9" t="str">
        <f t="shared" ca="1" si="7"/>
        <v>35 tahun, 6 bulan</v>
      </c>
      <c r="L442" s="12"/>
      <c r="M442" s="12"/>
      <c r="N442" s="12"/>
      <c r="O442" s="12"/>
    </row>
    <row r="443" spans="1:15" s="6" customFormat="1" ht="13.05" customHeight="1">
      <c r="A443" s="8">
        <v>438</v>
      </c>
      <c r="B443" s="30" t="s">
        <v>2547</v>
      </c>
      <c r="C443" s="10" t="s">
        <v>2549</v>
      </c>
      <c r="D443" s="13" t="s">
        <v>2548</v>
      </c>
      <c r="E443" s="9" t="s">
        <v>20</v>
      </c>
      <c r="F443" s="9" t="s">
        <v>2397</v>
      </c>
      <c r="G443" s="9" t="s">
        <v>25</v>
      </c>
      <c r="H443" s="9" t="s">
        <v>13</v>
      </c>
      <c r="I443" s="15" t="s">
        <v>1855</v>
      </c>
      <c r="J443" s="11">
        <v>32702</v>
      </c>
      <c r="K443" s="9" t="str">
        <f t="shared" ca="1" si="7"/>
        <v>37 tahun, 0 bulan</v>
      </c>
      <c r="L443" s="12"/>
      <c r="M443" s="12"/>
      <c r="N443" s="12"/>
      <c r="O443" s="12"/>
    </row>
    <row r="444" spans="1:15" s="6" customFormat="1" ht="13.05" customHeight="1">
      <c r="A444" s="8">
        <v>439</v>
      </c>
      <c r="B444" s="30" t="s">
        <v>2550</v>
      </c>
      <c r="C444" s="10" t="s">
        <v>2552</v>
      </c>
      <c r="D444" s="13" t="s">
        <v>2551</v>
      </c>
      <c r="E444" s="9" t="s">
        <v>20</v>
      </c>
      <c r="F444" s="9" t="s">
        <v>2397</v>
      </c>
      <c r="G444" s="9" t="s">
        <v>25</v>
      </c>
      <c r="H444" s="9" t="s">
        <v>15</v>
      </c>
      <c r="I444" s="15" t="s">
        <v>1840</v>
      </c>
      <c r="J444" s="11">
        <v>32663</v>
      </c>
      <c r="K444" s="9" t="str">
        <f t="shared" ca="1" si="7"/>
        <v>37 tahun, 1 bulan</v>
      </c>
      <c r="L444" s="12"/>
      <c r="M444" s="12"/>
      <c r="N444" s="12"/>
      <c r="O444" s="12"/>
    </row>
    <row r="445" spans="1:15" s="6" customFormat="1" ht="13.05" customHeight="1">
      <c r="A445" s="8">
        <v>440</v>
      </c>
      <c r="B445" s="30" t="s">
        <v>2553</v>
      </c>
      <c r="C445" s="10" t="s">
        <v>2555</v>
      </c>
      <c r="D445" s="13" t="s">
        <v>2554</v>
      </c>
      <c r="E445" s="9" t="s">
        <v>49</v>
      </c>
      <c r="F445" s="9" t="s">
        <v>2397</v>
      </c>
      <c r="G445" s="9" t="s">
        <v>25</v>
      </c>
      <c r="H445" s="9" t="s">
        <v>15</v>
      </c>
      <c r="I445" s="15" t="s">
        <v>1846</v>
      </c>
      <c r="J445" s="11">
        <v>34013</v>
      </c>
      <c r="K445" s="9" t="str">
        <f t="shared" ca="1" si="7"/>
        <v>33 tahun, 5 bulan</v>
      </c>
      <c r="L445" s="12"/>
      <c r="M445" s="12"/>
      <c r="N445" s="12"/>
      <c r="O445" s="12"/>
    </row>
    <row r="446" spans="1:15" s="6" customFormat="1" ht="13.05" customHeight="1">
      <c r="A446" s="8">
        <v>441</v>
      </c>
      <c r="B446" s="30" t="s">
        <v>2556</v>
      </c>
      <c r="C446" s="10" t="s">
        <v>2558</v>
      </c>
      <c r="D446" s="13" t="s">
        <v>2557</v>
      </c>
      <c r="E446" s="9" t="s">
        <v>49</v>
      </c>
      <c r="F446" s="9" t="s">
        <v>2397</v>
      </c>
      <c r="G446" s="9" t="s">
        <v>25</v>
      </c>
      <c r="H446" s="9" t="s">
        <v>13</v>
      </c>
      <c r="I446" s="15" t="s">
        <v>1825</v>
      </c>
      <c r="J446" s="11">
        <v>32895</v>
      </c>
      <c r="K446" s="9" t="str">
        <f t="shared" ca="1" si="7"/>
        <v>36 tahun, 6 bulan</v>
      </c>
      <c r="L446" s="12"/>
      <c r="M446" s="12"/>
      <c r="N446" s="12"/>
      <c r="O446" s="12"/>
    </row>
    <row r="447" spans="1:15" s="6" customFormat="1" ht="13.05" customHeight="1">
      <c r="A447" s="8">
        <v>442</v>
      </c>
      <c r="B447" s="30" t="s">
        <v>2559</v>
      </c>
      <c r="C447" s="10" t="s">
        <v>2561</v>
      </c>
      <c r="D447" s="13" t="s">
        <v>2560</v>
      </c>
      <c r="E447" s="9" t="s">
        <v>46</v>
      </c>
      <c r="F447" s="9" t="s">
        <v>2397</v>
      </c>
      <c r="G447" s="9" t="s">
        <v>25</v>
      </c>
      <c r="H447" s="9" t="s">
        <v>15</v>
      </c>
      <c r="I447" s="15" t="s">
        <v>1891</v>
      </c>
      <c r="J447" s="11">
        <v>32410</v>
      </c>
      <c r="K447" s="9" t="str">
        <f t="shared" ca="1" si="7"/>
        <v>37 tahun, 10 bulan</v>
      </c>
      <c r="L447" s="12"/>
      <c r="M447" s="12"/>
      <c r="N447" s="12"/>
      <c r="O447" s="12"/>
    </row>
    <row r="448" spans="1:15" s="6" customFormat="1" ht="13.05" customHeight="1">
      <c r="A448" s="8">
        <v>443</v>
      </c>
      <c r="B448" s="30" t="s">
        <v>2562</v>
      </c>
      <c r="C448" s="10" t="s">
        <v>2564</v>
      </c>
      <c r="D448" s="13" t="s">
        <v>2563</v>
      </c>
      <c r="E448" s="9" t="s">
        <v>47</v>
      </c>
      <c r="F448" s="9" t="s">
        <v>2397</v>
      </c>
      <c r="G448" s="9" t="s">
        <v>25</v>
      </c>
      <c r="H448" s="9" t="s">
        <v>13</v>
      </c>
      <c r="I448" s="15" t="s">
        <v>1825</v>
      </c>
      <c r="J448" s="11">
        <v>34710</v>
      </c>
      <c r="K448" s="9" t="str">
        <f t="shared" ca="1" si="7"/>
        <v>31 tahun, 6 bulan</v>
      </c>
      <c r="L448" s="12"/>
      <c r="M448" s="12"/>
      <c r="N448" s="12"/>
      <c r="O448" s="12"/>
    </row>
    <row r="449" spans="1:15" s="6" customFormat="1" ht="13.05" customHeight="1">
      <c r="A449" s="8">
        <v>444</v>
      </c>
      <c r="B449" s="30" t="s">
        <v>2565</v>
      </c>
      <c r="C449" s="10" t="s">
        <v>2567</v>
      </c>
      <c r="D449" s="13" t="s">
        <v>2566</v>
      </c>
      <c r="E449" s="9" t="s">
        <v>11</v>
      </c>
      <c r="F449" s="9" t="s">
        <v>2397</v>
      </c>
      <c r="G449" s="9" t="s">
        <v>25</v>
      </c>
      <c r="H449" s="9" t="s">
        <v>15</v>
      </c>
      <c r="I449" s="15" t="s">
        <v>1825</v>
      </c>
      <c r="J449" s="11">
        <v>33722</v>
      </c>
      <c r="K449" s="9" t="str">
        <f t="shared" ca="1" si="7"/>
        <v>34 tahun, 3 bulan</v>
      </c>
      <c r="L449" s="12"/>
      <c r="M449" s="12"/>
      <c r="N449" s="12"/>
      <c r="O449" s="12"/>
    </row>
  </sheetData>
  <autoFilter ref="A5:O450"/>
  <mergeCells count="15">
    <mergeCell ref="L4:L5"/>
    <mergeCell ref="M4:M5"/>
    <mergeCell ref="N4:N5"/>
    <mergeCell ref="O4:O5"/>
    <mergeCell ref="J4:J5"/>
    <mergeCell ref="K4:K5"/>
    <mergeCell ref="F4:F5"/>
    <mergeCell ref="G4:G5"/>
    <mergeCell ref="H4:H5"/>
    <mergeCell ref="E4:E5"/>
    <mergeCell ref="I4:I5"/>
    <mergeCell ref="A4:A5"/>
    <mergeCell ref="B4:B5"/>
    <mergeCell ref="C4:C5"/>
    <mergeCell ref="D4:D5"/>
  </mergeCells>
  <hyperlinks>
    <hyperlink ref="M163" r:id="rId1"/>
    <hyperlink ref="M400" r:id="rId2"/>
    <hyperlink ref="M84" r:id="rId3"/>
    <hyperlink ref="M120" r:id="rId4"/>
    <hyperlink ref="M361" r:id="rId5"/>
    <hyperlink ref="M375" r:id="rId6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sqref="A1:XFD1048576"/>
    </sheetView>
  </sheetViews>
  <sheetFormatPr defaultColWidth="9.21875" defaultRowHeight="13.2"/>
  <cols>
    <col min="1" max="1" width="10" style="16" bestFit="1" customWidth="1"/>
    <col min="2" max="2" width="39.5546875" style="16" bestFit="1" customWidth="1"/>
    <col min="3" max="3" width="20" style="16" bestFit="1" customWidth="1"/>
    <col min="4" max="4" width="9.21875" style="16"/>
    <col min="5" max="5" width="27.5546875" style="16" customWidth="1"/>
    <col min="6" max="16384" width="9.21875" style="16"/>
  </cols>
  <sheetData>
    <row r="1" spans="1:3" ht="17.399999999999999">
      <c r="A1" s="51" t="s">
        <v>1940</v>
      </c>
      <c r="B1" s="51"/>
      <c r="C1" s="51"/>
    </row>
    <row r="3" spans="1:3" s="18" customFormat="1" ht="17.399999999999999">
      <c r="A3" s="17" t="s">
        <v>7</v>
      </c>
      <c r="B3" s="17" t="s">
        <v>1939</v>
      </c>
      <c r="C3" s="17" t="s">
        <v>1941</v>
      </c>
    </row>
    <row r="4" spans="1:3" s="18" customFormat="1" ht="17.399999999999999">
      <c r="A4" s="19" t="s">
        <v>1942</v>
      </c>
      <c r="B4" s="20" t="s">
        <v>1943</v>
      </c>
      <c r="C4" s="18" t="s">
        <v>23</v>
      </c>
    </row>
    <row r="5" spans="1:3" s="18" customFormat="1" ht="17.399999999999999">
      <c r="A5" s="19" t="s">
        <v>1886</v>
      </c>
      <c r="B5" s="20" t="s">
        <v>1944</v>
      </c>
      <c r="C5" s="18" t="s">
        <v>23</v>
      </c>
    </row>
    <row r="6" spans="1:3" s="18" customFormat="1" ht="17.399999999999999">
      <c r="A6" s="19" t="s">
        <v>1876</v>
      </c>
      <c r="B6" s="20" t="s">
        <v>1875</v>
      </c>
      <c r="C6" s="18" t="s">
        <v>23</v>
      </c>
    </row>
    <row r="7" spans="1:3" s="18" customFormat="1" ht="17.399999999999999">
      <c r="A7" s="19" t="s">
        <v>1841</v>
      </c>
      <c r="B7" s="20" t="s">
        <v>1945</v>
      </c>
      <c r="C7" s="18" t="s">
        <v>23</v>
      </c>
    </row>
    <row r="8" spans="1:3" s="18" customFormat="1" ht="17.399999999999999">
      <c r="A8" s="19" t="s">
        <v>1835</v>
      </c>
      <c r="B8" s="20" t="s">
        <v>1834</v>
      </c>
      <c r="C8" s="18" t="s">
        <v>23</v>
      </c>
    </row>
    <row r="9" spans="1:3" s="18" customFormat="1" ht="17.399999999999999">
      <c r="A9" s="19" t="s">
        <v>1839</v>
      </c>
      <c r="B9" s="20" t="s">
        <v>1946</v>
      </c>
      <c r="C9" s="18" t="s">
        <v>23</v>
      </c>
    </row>
    <row r="10" spans="1:3" s="18" customFormat="1" ht="17.399999999999999">
      <c r="A10" s="19" t="s">
        <v>1827</v>
      </c>
      <c r="B10" s="20" t="s">
        <v>1826</v>
      </c>
      <c r="C10" s="18" t="s">
        <v>23</v>
      </c>
    </row>
    <row r="11" spans="1:3" s="18" customFormat="1" ht="17.399999999999999">
      <c r="A11" s="19" t="s">
        <v>1836</v>
      </c>
      <c r="B11" s="20" t="s">
        <v>1947</v>
      </c>
      <c r="C11" s="18" t="s">
        <v>23</v>
      </c>
    </row>
    <row r="12" spans="1:3" s="18" customFormat="1" ht="17.399999999999999">
      <c r="A12" s="21" t="s">
        <v>120</v>
      </c>
      <c r="B12" s="22" t="s">
        <v>1957</v>
      </c>
      <c r="C12" s="52" t="s">
        <v>39</v>
      </c>
    </row>
    <row r="13" spans="1:3" s="18" customFormat="1" ht="17.399999999999999">
      <c r="A13" s="21" t="s">
        <v>41</v>
      </c>
      <c r="B13" s="22" t="s">
        <v>1948</v>
      </c>
      <c r="C13" s="52"/>
    </row>
    <row r="14" spans="1:3" s="18" customFormat="1" ht="17.399999999999999">
      <c r="A14" s="23" t="s">
        <v>42</v>
      </c>
      <c r="B14" s="24" t="s">
        <v>1949</v>
      </c>
      <c r="C14" s="53" t="s">
        <v>30</v>
      </c>
    </row>
    <row r="15" spans="1:3" s="18" customFormat="1" ht="17.399999999999999">
      <c r="A15" s="23" t="s">
        <v>43</v>
      </c>
      <c r="B15" s="24" t="s">
        <v>1950</v>
      </c>
      <c r="C15" s="53"/>
    </row>
    <row r="16" spans="1:3" s="18" customFormat="1" ht="17.399999999999999">
      <c r="A16" s="25" t="s">
        <v>48</v>
      </c>
      <c r="B16" s="26" t="s">
        <v>1951</v>
      </c>
      <c r="C16" s="54" t="s">
        <v>26</v>
      </c>
    </row>
    <row r="17" spans="1:3" s="18" customFormat="1" ht="17.399999999999999">
      <c r="A17" s="25" t="s">
        <v>27</v>
      </c>
      <c r="B17" s="26" t="s">
        <v>1952</v>
      </c>
      <c r="C17" s="54"/>
    </row>
    <row r="18" spans="1:3" s="18" customFormat="1" ht="17.399999999999999">
      <c r="A18" s="25" t="s">
        <v>38</v>
      </c>
      <c r="B18" s="26" t="s">
        <v>1953</v>
      </c>
      <c r="C18" s="54"/>
    </row>
    <row r="19" spans="1:3" s="18" customFormat="1" ht="17.399999999999999">
      <c r="A19" s="27" t="s">
        <v>21</v>
      </c>
      <c r="B19" s="28" t="s">
        <v>1954</v>
      </c>
      <c r="C19" s="55" t="s">
        <v>10</v>
      </c>
    </row>
    <row r="20" spans="1:3" s="18" customFormat="1" ht="17.399999999999999">
      <c r="A20" s="27" t="s">
        <v>12</v>
      </c>
      <c r="B20" s="28" t="s">
        <v>1955</v>
      </c>
      <c r="C20" s="55"/>
    </row>
  </sheetData>
  <mergeCells count="5">
    <mergeCell ref="A1:C1"/>
    <mergeCell ref="C12:C13"/>
    <mergeCell ref="C14:C15"/>
    <mergeCell ref="C16:C18"/>
    <mergeCell ref="C19:C20"/>
  </mergeCells>
  <conditionalFormatting sqref="A12:B12">
    <cfRule type="cellIs" dxfId="13" priority="14" stopIfTrue="1" operator="equal">
      <formula>$AG$13</formula>
    </cfRule>
  </conditionalFormatting>
  <conditionalFormatting sqref="A13:B13">
    <cfRule type="cellIs" dxfId="12" priority="13" stopIfTrue="1" operator="equal">
      <formula>$AG$13</formula>
    </cfRule>
  </conditionalFormatting>
  <conditionalFormatting sqref="A14:B14">
    <cfRule type="cellIs" dxfId="11" priority="12" stopIfTrue="1" operator="equal">
      <formula>$AG$13</formula>
    </cfRule>
  </conditionalFormatting>
  <conditionalFormatting sqref="A15:B15">
    <cfRule type="cellIs" dxfId="10" priority="11" stopIfTrue="1" operator="equal">
      <formula>$AG$13</formula>
    </cfRule>
  </conditionalFormatting>
  <conditionalFormatting sqref="A16:B16">
    <cfRule type="cellIs" dxfId="9" priority="10" stopIfTrue="1" operator="equal">
      <formula>$AG$13</formula>
    </cfRule>
  </conditionalFormatting>
  <conditionalFormatting sqref="A17:B17">
    <cfRule type="cellIs" dxfId="8" priority="9" stopIfTrue="1" operator="equal">
      <formula>$AG$13</formula>
    </cfRule>
  </conditionalFormatting>
  <conditionalFormatting sqref="A18:B18">
    <cfRule type="cellIs" dxfId="7" priority="8" stopIfTrue="1" operator="equal">
      <formula>$AG$13</formula>
    </cfRule>
  </conditionalFormatting>
  <conditionalFormatting sqref="C16">
    <cfRule type="cellIs" dxfId="6" priority="3" stopIfTrue="1" operator="equal">
      <formula>$AG$13</formula>
    </cfRule>
  </conditionalFormatting>
  <conditionalFormatting sqref="A20:B20">
    <cfRule type="cellIs" dxfId="5" priority="7" stopIfTrue="1" operator="equal">
      <formula>$AG$13</formula>
    </cfRule>
  </conditionalFormatting>
  <conditionalFormatting sqref="A4:B11">
    <cfRule type="cellIs" dxfId="4" priority="6" stopIfTrue="1" operator="equal">
      <formula>$AG$13</formula>
    </cfRule>
  </conditionalFormatting>
  <conditionalFormatting sqref="C12">
    <cfRule type="cellIs" dxfId="3" priority="1" stopIfTrue="1" operator="equal">
      <formula>$AG$13</formula>
    </cfRule>
  </conditionalFormatting>
  <conditionalFormatting sqref="C14">
    <cfRule type="cellIs" dxfId="2" priority="2" stopIfTrue="1" operator="equal">
      <formula>$AG$13</formula>
    </cfRule>
  </conditionalFormatting>
  <conditionalFormatting sqref="A19:B19">
    <cfRule type="cellIs" dxfId="1" priority="5" stopIfTrue="1" operator="equal">
      <formula>$AG$13</formula>
    </cfRule>
  </conditionalFormatting>
  <conditionalFormatting sqref="C19">
    <cfRule type="cellIs" dxfId="0" priority="4" stopIfTrue="1" operator="equal">
      <formula>$AG$13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PANGKAT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fkunpad21</dc:creator>
  <cp:lastModifiedBy>Mamat Rahmat</cp:lastModifiedBy>
  <cp:lastPrinted>2025-04-30T06:16:41Z</cp:lastPrinted>
  <dcterms:created xsi:type="dcterms:W3CDTF">2022-11-01T10:21:12Z</dcterms:created>
  <dcterms:modified xsi:type="dcterms:W3CDTF">2026-07-29T03:33:39Z</dcterms:modified>
</cp:coreProperties>
</file>