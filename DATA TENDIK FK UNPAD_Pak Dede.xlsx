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K\"/>
    </mc:Choice>
  </mc:AlternateContent>
  <bookViews>
    <workbookView xWindow="0" yWindow="0" windowWidth="19200" windowHeight="7056"/>
  </bookViews>
  <sheets>
    <sheet name="2026" sheetId="15" r:id="rId1"/>
    <sheet name="Sheet1" sheetId="9" state="hidden" r:id="rId2"/>
  </sheets>
  <definedNames>
    <definedName name="_xlnm._FilterDatabase" localSheetId="0" hidden="1">'2026'!$A$3:$V$197</definedName>
  </definedNames>
  <calcPr calcId="162913"/>
</workbook>
</file>

<file path=xl/calcChain.xml><?xml version="1.0" encoding="utf-8"?>
<calcChain xmlns="http://schemas.openxmlformats.org/spreadsheetml/2006/main">
  <c r="H173" i="15" l="1"/>
  <c r="V173" i="15"/>
  <c r="A2" i="15" l="1"/>
  <c r="V142" i="15"/>
  <c r="H142" i="15"/>
  <c r="V170" i="15"/>
  <c r="H149" i="15"/>
  <c r="V149" i="15"/>
  <c r="H170" i="15"/>
  <c r="V197" i="15"/>
  <c r="H197" i="15"/>
  <c r="V196" i="15"/>
  <c r="H196" i="15"/>
  <c r="V195" i="15"/>
  <c r="H195" i="15"/>
  <c r="V194" i="15"/>
  <c r="H194" i="15"/>
  <c r="V193" i="15"/>
  <c r="H193" i="15"/>
  <c r="V192" i="15"/>
  <c r="H192" i="15"/>
  <c r="V191" i="15"/>
  <c r="H191" i="15"/>
  <c r="V190" i="15"/>
  <c r="H190" i="15"/>
  <c r="V189" i="15"/>
  <c r="H189" i="15"/>
  <c r="V188" i="15"/>
  <c r="H188" i="15"/>
  <c r="V187" i="15"/>
  <c r="H187" i="15"/>
  <c r="V186" i="15"/>
  <c r="H186" i="15"/>
  <c r="V185" i="15"/>
  <c r="H185" i="15"/>
  <c r="V184" i="15"/>
  <c r="H184" i="15"/>
  <c r="V183" i="15"/>
  <c r="H183" i="15"/>
  <c r="V182" i="15"/>
  <c r="H182" i="15"/>
  <c r="V181" i="15"/>
  <c r="H181" i="15"/>
  <c r="V180" i="15"/>
  <c r="H180" i="15"/>
  <c r="V179" i="15"/>
  <c r="H179" i="15"/>
  <c r="V178" i="15"/>
  <c r="H178" i="15"/>
  <c r="V177" i="15"/>
  <c r="H177" i="15"/>
  <c r="V176" i="15"/>
  <c r="H176" i="15"/>
  <c r="V175" i="15"/>
  <c r="H175" i="15"/>
  <c r="V174" i="15"/>
  <c r="H174" i="15"/>
  <c r="V172" i="15"/>
  <c r="H172" i="15"/>
  <c r="V171" i="15"/>
  <c r="H171" i="15"/>
  <c r="V169" i="15"/>
  <c r="H169" i="15"/>
  <c r="V168" i="15"/>
  <c r="H168" i="15"/>
  <c r="V167" i="15"/>
  <c r="H167" i="15"/>
  <c r="V166" i="15"/>
  <c r="H166" i="15"/>
  <c r="V165" i="15"/>
  <c r="H165" i="15"/>
  <c r="V164" i="15"/>
  <c r="H164" i="15"/>
  <c r="V163" i="15"/>
  <c r="H163" i="15"/>
  <c r="V162" i="15"/>
  <c r="H162" i="15"/>
  <c r="V161" i="15"/>
  <c r="H161" i="15"/>
  <c r="V160" i="15"/>
  <c r="H160" i="15"/>
  <c r="V159" i="15"/>
  <c r="H159" i="15"/>
  <c r="V158" i="15"/>
  <c r="H158" i="15"/>
  <c r="V157" i="15"/>
  <c r="H157" i="15"/>
  <c r="V156" i="15"/>
  <c r="H156" i="15"/>
  <c r="V155" i="15"/>
  <c r="H155" i="15"/>
  <c r="V154" i="15"/>
  <c r="H154" i="15"/>
  <c r="V153" i="15"/>
  <c r="H153" i="15"/>
  <c r="V152" i="15"/>
  <c r="H152" i="15"/>
  <c r="V151" i="15"/>
  <c r="H151" i="15"/>
  <c r="V150" i="15"/>
  <c r="H150" i="15"/>
  <c r="V148" i="15"/>
  <c r="H148" i="15"/>
  <c r="V147" i="15"/>
  <c r="H147" i="15"/>
  <c r="V146" i="15"/>
  <c r="H146" i="15"/>
  <c r="V145" i="15"/>
  <c r="H145" i="15"/>
  <c r="V144" i="15"/>
  <c r="H144" i="15"/>
  <c r="V143" i="15"/>
  <c r="H143" i="15"/>
  <c r="V141" i="15"/>
  <c r="H141" i="15"/>
  <c r="V140" i="15"/>
  <c r="H140" i="15"/>
  <c r="V139" i="15"/>
  <c r="H139" i="15"/>
  <c r="V138" i="15"/>
  <c r="H138" i="15"/>
  <c r="V137" i="15"/>
  <c r="H137" i="15"/>
  <c r="V136" i="15"/>
  <c r="H136" i="15"/>
  <c r="V135" i="15"/>
  <c r="H135" i="15"/>
  <c r="V134" i="15"/>
  <c r="H134" i="15"/>
  <c r="V133" i="15"/>
  <c r="H133" i="15"/>
  <c r="V132" i="15"/>
  <c r="H132" i="15"/>
  <c r="V131" i="15"/>
  <c r="H131" i="15"/>
  <c r="V130" i="15"/>
  <c r="H130" i="15"/>
  <c r="V129" i="15"/>
  <c r="H129" i="15"/>
  <c r="V128" i="15"/>
  <c r="H128" i="15"/>
  <c r="V127" i="15"/>
  <c r="H127" i="15"/>
  <c r="V126" i="15"/>
  <c r="H126" i="15"/>
  <c r="V125" i="15"/>
  <c r="H125" i="15"/>
  <c r="V124" i="15"/>
  <c r="H124" i="15"/>
  <c r="V123" i="15"/>
  <c r="H123" i="15"/>
  <c r="V122" i="15"/>
  <c r="H122" i="15"/>
  <c r="V121" i="15"/>
  <c r="H121" i="15"/>
  <c r="V120" i="15"/>
  <c r="H120" i="15"/>
  <c r="V119" i="15"/>
  <c r="H119" i="15"/>
  <c r="V118" i="15"/>
  <c r="H118" i="15"/>
  <c r="V117" i="15"/>
  <c r="H117" i="15"/>
  <c r="V116" i="15"/>
  <c r="H116" i="15"/>
  <c r="V115" i="15"/>
  <c r="H115" i="15"/>
  <c r="V114" i="15"/>
  <c r="H114" i="15"/>
  <c r="V113" i="15"/>
  <c r="H113" i="15"/>
  <c r="V112" i="15"/>
  <c r="H112" i="15"/>
  <c r="V111" i="15"/>
  <c r="H111" i="15"/>
  <c r="V110" i="15"/>
  <c r="H110" i="15"/>
  <c r="V109" i="15"/>
  <c r="H109" i="15"/>
  <c r="V108" i="15"/>
  <c r="H108" i="15"/>
  <c r="V107" i="15"/>
  <c r="H107" i="15"/>
  <c r="V106" i="15"/>
  <c r="H106" i="15"/>
  <c r="V105" i="15"/>
  <c r="H105" i="15"/>
  <c r="V104" i="15"/>
  <c r="H104" i="15"/>
  <c r="V103" i="15"/>
  <c r="H103" i="15"/>
  <c r="V102" i="15"/>
  <c r="H102" i="15"/>
  <c r="V101" i="15"/>
  <c r="H101" i="15"/>
  <c r="V100" i="15"/>
  <c r="H100" i="15"/>
  <c r="V99" i="15"/>
  <c r="H99" i="15"/>
  <c r="V98" i="15"/>
  <c r="H98" i="15"/>
  <c r="V97" i="15"/>
  <c r="H97" i="15"/>
  <c r="V96" i="15"/>
  <c r="H96" i="15"/>
  <c r="V95" i="15"/>
  <c r="H95" i="15"/>
  <c r="V94" i="15"/>
  <c r="H94" i="15"/>
  <c r="V93" i="15"/>
  <c r="H93" i="15"/>
  <c r="V92" i="15"/>
  <c r="H92" i="15"/>
  <c r="V91" i="15"/>
  <c r="H91" i="15"/>
  <c r="V90" i="15"/>
  <c r="H90" i="15"/>
  <c r="V89" i="15"/>
  <c r="H89" i="15"/>
  <c r="V88" i="15"/>
  <c r="H88" i="15"/>
  <c r="V87" i="15"/>
  <c r="H87" i="15"/>
  <c r="V86" i="15"/>
  <c r="H86" i="15"/>
  <c r="V85" i="15"/>
  <c r="H85" i="15"/>
  <c r="V84" i="15"/>
  <c r="H84" i="15"/>
  <c r="V83" i="15"/>
  <c r="H83" i="15"/>
  <c r="V82" i="15"/>
  <c r="H82" i="15"/>
  <c r="V81" i="15"/>
  <c r="H81" i="15"/>
  <c r="V80" i="15"/>
  <c r="H80" i="15"/>
  <c r="V79" i="15"/>
  <c r="H79" i="15"/>
  <c r="V78" i="15"/>
  <c r="H78" i="15"/>
  <c r="V77" i="15"/>
  <c r="H77" i="15"/>
  <c r="V76" i="15"/>
  <c r="H76" i="15"/>
  <c r="V75" i="15"/>
  <c r="H75" i="15"/>
  <c r="V74" i="15"/>
  <c r="H74" i="15"/>
  <c r="V73" i="15"/>
  <c r="H73" i="15"/>
  <c r="V72" i="15"/>
  <c r="H72" i="15"/>
  <c r="V71" i="15"/>
  <c r="H71" i="15"/>
  <c r="V70" i="15"/>
  <c r="H70" i="15"/>
  <c r="V69" i="15"/>
  <c r="H69" i="15"/>
  <c r="V68" i="15"/>
  <c r="H68" i="15"/>
  <c r="V67" i="15"/>
  <c r="H67" i="15"/>
  <c r="V66" i="15"/>
  <c r="H66" i="15"/>
  <c r="V65" i="15"/>
  <c r="H65" i="15"/>
  <c r="V64" i="15"/>
  <c r="H64" i="15"/>
  <c r="V63" i="15"/>
  <c r="H63" i="15"/>
  <c r="V62" i="15"/>
  <c r="H62" i="15"/>
  <c r="V61" i="15"/>
  <c r="H61" i="15"/>
  <c r="V60" i="15"/>
  <c r="H60" i="15"/>
  <c r="V59" i="15"/>
  <c r="H59" i="15"/>
  <c r="V58" i="15"/>
  <c r="H58" i="15"/>
  <c r="V57" i="15"/>
  <c r="H57" i="15"/>
  <c r="V56" i="15"/>
  <c r="H56" i="15"/>
  <c r="V55" i="15"/>
  <c r="H55" i="15"/>
  <c r="V54" i="15"/>
  <c r="H54" i="15"/>
  <c r="V53" i="15"/>
  <c r="H53" i="15"/>
  <c r="V52" i="15"/>
  <c r="H52" i="15"/>
  <c r="V51" i="15"/>
  <c r="H51" i="15"/>
  <c r="V50" i="15"/>
  <c r="H50" i="15"/>
  <c r="V49" i="15"/>
  <c r="H49" i="15"/>
  <c r="V48" i="15"/>
  <c r="H48" i="15"/>
  <c r="V47" i="15"/>
  <c r="H47" i="15"/>
  <c r="V46" i="15"/>
  <c r="H46" i="15"/>
  <c r="V45" i="15"/>
  <c r="H45" i="15"/>
  <c r="V44" i="15"/>
  <c r="H44" i="15"/>
  <c r="V43" i="15"/>
  <c r="H43" i="15"/>
  <c r="V42" i="15"/>
  <c r="H42" i="15"/>
  <c r="V41" i="15"/>
  <c r="H41" i="15"/>
  <c r="V40" i="15"/>
  <c r="H40" i="15"/>
  <c r="V39" i="15"/>
  <c r="H39" i="15"/>
  <c r="V38" i="15"/>
  <c r="H38" i="15"/>
  <c r="V37" i="15"/>
  <c r="H37" i="15"/>
  <c r="V36" i="15"/>
  <c r="H36" i="15"/>
  <c r="V35" i="15"/>
  <c r="H35" i="15"/>
  <c r="V34" i="15"/>
  <c r="H34" i="15"/>
  <c r="V33" i="15"/>
  <c r="H33" i="15"/>
  <c r="V32" i="15"/>
  <c r="H32" i="15"/>
  <c r="V31" i="15"/>
  <c r="H31" i="15"/>
  <c r="V30" i="15"/>
  <c r="H30" i="15"/>
  <c r="V29" i="15"/>
  <c r="H29" i="15"/>
  <c r="V28" i="15"/>
  <c r="H28" i="15"/>
  <c r="V27" i="15"/>
  <c r="H27" i="15"/>
  <c r="V26" i="15"/>
  <c r="H26" i="15"/>
  <c r="V25" i="15"/>
  <c r="H25" i="15"/>
  <c r="V24" i="15"/>
  <c r="H24" i="15"/>
  <c r="V23" i="15"/>
  <c r="H23" i="15"/>
  <c r="V22" i="15"/>
  <c r="H22" i="15"/>
  <c r="V21" i="15"/>
  <c r="H21" i="15"/>
  <c r="V20" i="15"/>
  <c r="H20" i="15"/>
  <c r="V19" i="15"/>
  <c r="H19" i="15"/>
  <c r="V18" i="15"/>
  <c r="H18" i="15"/>
  <c r="V17" i="15"/>
  <c r="H17" i="15"/>
  <c r="V16" i="15"/>
  <c r="H16" i="15"/>
  <c r="V15" i="15"/>
  <c r="H15" i="15"/>
  <c r="V14" i="15"/>
  <c r="H14" i="15"/>
  <c r="V13" i="15"/>
  <c r="H13" i="15"/>
  <c r="V12" i="15"/>
  <c r="H12" i="15"/>
  <c r="V11" i="15"/>
  <c r="H11" i="15"/>
  <c r="V10" i="15"/>
  <c r="H10" i="15"/>
  <c r="V9" i="15"/>
  <c r="H9" i="15"/>
  <c r="V8" i="15"/>
  <c r="H8" i="15"/>
  <c r="V7" i="15"/>
  <c r="H7" i="15"/>
  <c r="V6" i="15"/>
  <c r="H6" i="15"/>
  <c r="V5" i="15"/>
  <c r="H5" i="15"/>
  <c r="V4" i="15"/>
  <c r="H4" i="15"/>
  <c r="R142" i="15" l="1"/>
  <c r="L173" i="15"/>
  <c r="R173" i="15"/>
  <c r="S173" i="15"/>
  <c r="U173" i="15"/>
  <c r="T173" i="15"/>
  <c r="R161" i="15"/>
  <c r="T166" i="15"/>
  <c r="U193" i="15"/>
  <c r="U129" i="15"/>
  <c r="S80" i="15"/>
  <c r="T38" i="15"/>
  <c r="U189" i="15"/>
  <c r="T52" i="15"/>
  <c r="R158" i="15"/>
  <c r="R22" i="15"/>
  <c r="U76" i="15"/>
  <c r="T177" i="15"/>
  <c r="S194" i="15"/>
  <c r="S51" i="15"/>
  <c r="T137" i="15"/>
  <c r="T7" i="15"/>
  <c r="R65" i="15"/>
  <c r="S5" i="15"/>
  <c r="S72" i="15"/>
  <c r="R58" i="15"/>
  <c r="R174" i="15"/>
  <c r="L41" i="15"/>
  <c r="R95" i="15"/>
  <c r="R6" i="15"/>
  <c r="T32" i="15"/>
  <c r="S8" i="15"/>
  <c r="L117" i="15"/>
  <c r="S56" i="15"/>
  <c r="S146" i="15"/>
  <c r="U23" i="15"/>
  <c r="S90" i="15"/>
  <c r="L185" i="15"/>
  <c r="L30" i="15"/>
  <c r="S28" i="15"/>
  <c r="S133" i="15"/>
  <c r="S55" i="15"/>
  <c r="T120" i="15"/>
  <c r="L184" i="15"/>
  <c r="S75" i="15"/>
  <c r="T131" i="15"/>
  <c r="L6" i="15"/>
  <c r="T90" i="15"/>
  <c r="R128" i="15"/>
  <c r="R98" i="15"/>
  <c r="T178" i="15"/>
  <c r="S52" i="15"/>
  <c r="L130" i="15"/>
  <c r="S111" i="15"/>
  <c r="S123" i="15"/>
  <c r="T148" i="15"/>
  <c r="R107" i="15"/>
  <c r="R176" i="15"/>
  <c r="U121" i="15"/>
  <c r="L12" i="15"/>
  <c r="R80" i="15"/>
  <c r="L167" i="15"/>
  <c r="U9" i="15"/>
  <c r="U45" i="15"/>
  <c r="R164" i="15"/>
  <c r="U143" i="15"/>
  <c r="U38" i="15"/>
  <c r="S120" i="15"/>
  <c r="L21" i="15"/>
  <c r="T104" i="15"/>
  <c r="T139" i="15"/>
  <c r="S97" i="15"/>
  <c r="S180" i="15"/>
  <c r="L75" i="15"/>
  <c r="S191" i="15"/>
  <c r="S95" i="15"/>
  <c r="T22" i="15"/>
  <c r="L136" i="15"/>
  <c r="R51" i="15"/>
  <c r="L181" i="15"/>
  <c r="R75" i="15"/>
  <c r="S112" i="15"/>
  <c r="S29" i="15"/>
  <c r="T187" i="15"/>
  <c r="R136" i="15"/>
  <c r="L48" i="15"/>
  <c r="L172" i="15"/>
  <c r="L79" i="15"/>
  <c r="U7" i="15"/>
  <c r="T118" i="15"/>
  <c r="R37" i="15"/>
  <c r="L161" i="15"/>
  <c r="R52" i="15"/>
  <c r="R143" i="15"/>
  <c r="U48" i="15"/>
  <c r="T73" i="15"/>
  <c r="T161" i="15"/>
  <c r="T87" i="15"/>
  <c r="R184" i="15"/>
  <c r="U86" i="15"/>
  <c r="T44" i="15"/>
  <c r="U15" i="15"/>
  <c r="S168" i="15"/>
  <c r="S127" i="15"/>
  <c r="R85" i="15"/>
  <c r="S44" i="15"/>
  <c r="R14" i="15"/>
  <c r="L120" i="15"/>
  <c r="R70" i="15"/>
  <c r="U17" i="15"/>
  <c r="T124" i="15"/>
  <c r="S187" i="15"/>
  <c r="S37" i="15"/>
  <c r="T109" i="15"/>
  <c r="S64" i="15"/>
  <c r="L139" i="15"/>
  <c r="T145" i="15"/>
  <c r="L76" i="15"/>
  <c r="L145" i="15"/>
  <c r="T168" i="15"/>
  <c r="L119" i="15"/>
  <c r="R74" i="15"/>
  <c r="T37" i="15"/>
  <c r="T6" i="15"/>
  <c r="U155" i="15"/>
  <c r="L114" i="15"/>
  <c r="L74" i="15"/>
  <c r="L36" i="15"/>
  <c r="L5" i="15"/>
  <c r="L158" i="15"/>
  <c r="S99" i="15"/>
  <c r="L51" i="15"/>
  <c r="L96" i="15"/>
  <c r="S144" i="15"/>
  <c r="S9" i="15"/>
  <c r="U52" i="15"/>
  <c r="L133" i="15"/>
  <c r="T84" i="15"/>
  <c r="T181" i="15"/>
  <c r="U169" i="15"/>
  <c r="S58" i="15"/>
  <c r="R4" i="15"/>
  <c r="S164" i="15"/>
  <c r="R110" i="15"/>
  <c r="L68" i="15"/>
  <c r="U31" i="15"/>
  <c r="T195" i="15"/>
  <c r="U147" i="15"/>
  <c r="U107" i="15"/>
  <c r="R69" i="15"/>
  <c r="R30" i="15"/>
  <c r="T192" i="15"/>
  <c r="S147" i="15"/>
  <c r="R90" i="15"/>
  <c r="R44" i="15"/>
  <c r="L104" i="15"/>
  <c r="L159" i="15"/>
  <c r="S16" i="15"/>
  <c r="S74" i="15"/>
  <c r="L154" i="15"/>
  <c r="U92" i="15"/>
  <c r="R116" i="15"/>
  <c r="U171" i="15"/>
  <c r="T58" i="15"/>
  <c r="R8" i="15"/>
  <c r="R150" i="15"/>
  <c r="L102" i="15"/>
  <c r="L63" i="15"/>
  <c r="L28" i="15"/>
  <c r="R185" i="15"/>
  <c r="U140" i="15"/>
  <c r="L98" i="15"/>
  <c r="T53" i="15"/>
  <c r="T23" i="15"/>
  <c r="T186" i="15"/>
  <c r="L134" i="15"/>
  <c r="S81" i="15"/>
  <c r="U33" i="15"/>
  <c r="S109" i="15"/>
  <c r="L165" i="15"/>
  <c r="S24" i="15"/>
  <c r="S89" i="15"/>
  <c r="L174" i="15"/>
  <c r="U96" i="15"/>
  <c r="R124" i="15"/>
  <c r="U181" i="15"/>
  <c r="T117" i="15"/>
  <c r="T76" i="15"/>
  <c r="U97" i="15"/>
  <c r="R147" i="15"/>
  <c r="S188" i="15"/>
  <c r="R129" i="15"/>
  <c r="T153" i="15"/>
  <c r="U194" i="15"/>
  <c r="T48" i="15"/>
  <c r="T62" i="15"/>
  <c r="T59" i="15"/>
  <c r="R151" i="15"/>
  <c r="S117" i="15"/>
  <c r="U61" i="15"/>
  <c r="L193" i="15"/>
  <c r="L23" i="15"/>
  <c r="T184" i="15"/>
  <c r="R16" i="15"/>
  <c r="L57" i="15"/>
  <c r="T188" i="15"/>
  <c r="S167" i="15"/>
  <c r="U137" i="15"/>
  <c r="U118" i="15"/>
  <c r="L94" i="15"/>
  <c r="U70" i="15"/>
  <c r="R50" i="15"/>
  <c r="R36" i="15"/>
  <c r="R21" i="15"/>
  <c r="R5" i="15"/>
  <c r="T175" i="15"/>
  <c r="U151" i="15"/>
  <c r="U131" i="15"/>
  <c r="U111" i="15"/>
  <c r="L89" i="15"/>
  <c r="U71" i="15"/>
  <c r="L50" i="15"/>
  <c r="U32" i="15"/>
  <c r="U16" i="15"/>
  <c r="S197" i="15"/>
  <c r="S178" i="15"/>
  <c r="U152" i="15"/>
  <c r="U122" i="15"/>
  <c r="T96" i="15"/>
  <c r="U72" i="15"/>
  <c r="T46" i="15"/>
  <c r="U25" i="15"/>
  <c r="R97" i="15"/>
  <c r="U115" i="15"/>
  <c r="L148" i="15"/>
  <c r="S177" i="15"/>
  <c r="S12" i="15"/>
  <c r="S32" i="15"/>
  <c r="U53" i="15"/>
  <c r="T105" i="15"/>
  <c r="S138" i="15"/>
  <c r="L190" i="15"/>
  <c r="T80" i="15"/>
  <c r="U100" i="15"/>
  <c r="S148" i="15"/>
  <c r="S196" i="15"/>
  <c r="R132" i="15"/>
  <c r="T154" i="15"/>
  <c r="U177" i="15"/>
  <c r="U197" i="15"/>
  <c r="R33" i="15"/>
  <c r="R101" i="15"/>
  <c r="R67" i="15"/>
  <c r="U157" i="15"/>
  <c r="S132" i="15"/>
  <c r="T72" i="15"/>
  <c r="T176" i="15"/>
  <c r="U19" i="15"/>
  <c r="R152" i="15"/>
  <c r="L11" i="15"/>
  <c r="R27" i="15"/>
  <c r="S185" i="15"/>
  <c r="L166" i="15"/>
  <c r="S136" i="15"/>
  <c r="S114" i="15"/>
  <c r="R89" i="15"/>
  <c r="T69" i="15"/>
  <c r="L49" i="15"/>
  <c r="L35" i="15"/>
  <c r="L20" i="15"/>
  <c r="L4" i="15"/>
  <c r="T169" i="15"/>
  <c r="L150" i="15"/>
  <c r="S130" i="15"/>
  <c r="L110" i="15"/>
  <c r="S86" i="15"/>
  <c r="T70" i="15"/>
  <c r="T45" i="15"/>
  <c r="T31" i="15"/>
  <c r="T15" i="15"/>
  <c r="S195" i="15"/>
  <c r="S175" i="15"/>
  <c r="S151" i="15"/>
  <c r="S121" i="15"/>
  <c r="T91" i="15"/>
  <c r="T71" i="15"/>
  <c r="S45" i="15"/>
  <c r="L22" i="15"/>
  <c r="T99" i="15"/>
  <c r="L123" i="15"/>
  <c r="S150" i="15"/>
  <c r="R181" i="15"/>
  <c r="S13" i="15"/>
  <c r="S36" i="15"/>
  <c r="R66" i="15"/>
  <c r="T106" i="15"/>
  <c r="R148" i="15"/>
  <c r="T193" i="15"/>
  <c r="T81" i="15"/>
  <c r="U104" i="15"/>
  <c r="R156" i="15"/>
  <c r="T197" i="15"/>
  <c r="T157" i="15"/>
  <c r="U178" i="15"/>
  <c r="R144" i="15"/>
  <c r="T68" i="15"/>
  <c r="S104" i="15"/>
  <c r="U79" i="15"/>
  <c r="S166" i="15"/>
  <c r="T13" i="15"/>
  <c r="R108" i="15"/>
  <c r="T123" i="15"/>
  <c r="L195" i="15"/>
  <c r="S42" i="15"/>
  <c r="T190" i="15"/>
  <c r="L61" i="15"/>
  <c r="L141" i="15"/>
  <c r="L33" i="15"/>
  <c r="L151" i="15"/>
  <c r="L81" i="15"/>
  <c r="T185" i="15"/>
  <c r="U20" i="15"/>
  <c r="S116" i="15"/>
  <c r="U113" i="15"/>
  <c r="T11" i="15"/>
  <c r="T36" i="15"/>
  <c r="T167" i="15"/>
  <c r="T34" i="15"/>
  <c r="L183" i="15"/>
  <c r="S158" i="15"/>
  <c r="T130" i="15"/>
  <c r="R106" i="15"/>
  <c r="S85" i="15"/>
  <c r="U65" i="15"/>
  <c r="S43" i="15"/>
  <c r="T30" i="15"/>
  <c r="T14" i="15"/>
  <c r="R194" i="15"/>
  <c r="R167" i="15"/>
  <c r="R146" i="15"/>
  <c r="S124" i="15"/>
  <c r="L106" i="15"/>
  <c r="L84" i="15"/>
  <c r="T65" i="15"/>
  <c r="R43" i="15"/>
  <c r="L29" i="15"/>
  <c r="L13" i="15"/>
  <c r="S189" i="15"/>
  <c r="S169" i="15"/>
  <c r="T140" i="15"/>
  <c r="T115" i="15"/>
  <c r="R86" i="15"/>
  <c r="L69" i="15"/>
  <c r="L43" i="15"/>
  <c r="T16" i="15"/>
  <c r="S107" i="15"/>
  <c r="T129" i="15"/>
  <c r="R160" i="15"/>
  <c r="L191" i="15"/>
  <c r="S20" i="15"/>
  <c r="T40" i="15"/>
  <c r="U75" i="15"/>
  <c r="T113" i="15"/>
  <c r="S160" i="15"/>
  <c r="S65" i="15"/>
  <c r="U88" i="15"/>
  <c r="L124" i="15"/>
  <c r="S165" i="15"/>
  <c r="R120" i="15"/>
  <c r="R139" i="15"/>
  <c r="T162" i="15"/>
  <c r="U185" i="15"/>
  <c r="S119" i="15"/>
  <c r="T26" i="15"/>
  <c r="T194" i="15"/>
  <c r="S92" i="15"/>
  <c r="L187" i="15"/>
  <c r="U13" i="15"/>
  <c r="L47" i="15"/>
  <c r="U34" i="15"/>
  <c r="L115" i="15"/>
  <c r="R76" i="15"/>
  <c r="S39" i="15"/>
  <c r="L177" i="15"/>
  <c r="L157" i="15"/>
  <c r="T127" i="15"/>
  <c r="S103" i="15"/>
  <c r="R84" i="15"/>
  <c r="R64" i="15"/>
  <c r="R42" i="15"/>
  <c r="R29" i="15"/>
  <c r="R13" i="15"/>
  <c r="R188" i="15"/>
  <c r="L164" i="15"/>
  <c r="L143" i="15"/>
  <c r="T121" i="15"/>
  <c r="R103" i="15"/>
  <c r="U81" i="15"/>
  <c r="L64" i="15"/>
  <c r="L42" i="15"/>
  <c r="U24" i="15"/>
  <c r="U8" i="15"/>
  <c r="L188" i="15"/>
  <c r="R168" i="15"/>
  <c r="S137" i="15"/>
  <c r="R111" i="15"/>
  <c r="L85" i="15"/>
  <c r="U66" i="15"/>
  <c r="L37" i="15"/>
  <c r="L14" i="15"/>
  <c r="S108" i="15"/>
  <c r="U130" i="15"/>
  <c r="S161" i="15"/>
  <c r="S4" i="15"/>
  <c r="S21" i="15"/>
  <c r="U44" i="15"/>
  <c r="S82" i="15"/>
  <c r="U114" i="15"/>
  <c r="T172" i="15"/>
  <c r="S68" i="15"/>
  <c r="U89" i="15"/>
  <c r="L132" i="15"/>
  <c r="R121" i="15"/>
  <c r="T144" i="15"/>
  <c r="T165" i="15"/>
  <c r="U186" i="15"/>
  <c r="L83" i="15"/>
  <c r="T20" i="15"/>
  <c r="L197" i="15"/>
  <c r="U106" i="15"/>
  <c r="R197" i="15"/>
  <c r="L15" i="15"/>
  <c r="L179" i="15"/>
  <c r="R193" i="15"/>
  <c r="L125" i="15"/>
  <c r="T100" i="15"/>
  <c r="T49" i="15"/>
  <c r="U30" i="15"/>
  <c r="L54" i="15"/>
  <c r="U109" i="15"/>
  <c r="T50" i="15"/>
  <c r="R39" i="15"/>
  <c r="U138" i="15"/>
  <c r="R93" i="15"/>
  <c r="L93" i="15"/>
  <c r="R26" i="15"/>
  <c r="L10" i="15"/>
  <c r="S6" i="15"/>
  <c r="S14" i="15"/>
  <c r="S22" i="15"/>
  <c r="S30" i="15"/>
  <c r="S38" i="15"/>
  <c r="U46" i="15"/>
  <c r="U54" i="15"/>
  <c r="L80" i="15"/>
  <c r="L95" i="15"/>
  <c r="T107" i="15"/>
  <c r="L118" i="15"/>
  <c r="U134" i="15"/>
  <c r="S155" i="15"/>
  <c r="R175" i="15"/>
  <c r="R191" i="15"/>
  <c r="S66" i="15"/>
  <c r="T74" i="15"/>
  <c r="T82" i="15"/>
  <c r="U90" i="15"/>
  <c r="U98" i="15"/>
  <c r="S118" i="15"/>
  <c r="T134" i="15"/>
  <c r="U150" i="15"/>
  <c r="L171" i="15"/>
  <c r="L186" i="15"/>
  <c r="R114" i="15"/>
  <c r="R122" i="15"/>
  <c r="R130" i="15"/>
  <c r="R137" i="15"/>
  <c r="T146" i="15"/>
  <c r="T155" i="15"/>
  <c r="T163" i="15"/>
  <c r="U172" i="15"/>
  <c r="U179" i="15"/>
  <c r="U187" i="15"/>
  <c r="U195" i="15"/>
  <c r="S129" i="15"/>
  <c r="U74" i="15"/>
  <c r="T17" i="15"/>
  <c r="R17" i="15"/>
  <c r="S59" i="15"/>
  <c r="U123" i="15"/>
  <c r="R19" i="15"/>
  <c r="T60" i="15"/>
  <c r="T89" i="15"/>
  <c r="L111" i="15"/>
  <c r="U159" i="15"/>
  <c r="R189" i="15"/>
  <c r="S57" i="15"/>
  <c r="T135" i="15"/>
  <c r="T25" i="15"/>
  <c r="R18" i="15"/>
  <c r="S49" i="15"/>
  <c r="R77" i="15"/>
  <c r="U117" i="15"/>
  <c r="S182" i="15"/>
  <c r="L153" i="15"/>
  <c r="T174" i="15"/>
  <c r="U105" i="15"/>
  <c r="R178" i="15"/>
  <c r="S73" i="15"/>
  <c r="L9" i="15"/>
  <c r="T4" i="15"/>
  <c r="U154" i="15"/>
  <c r="L73" i="15"/>
  <c r="L135" i="15"/>
  <c r="U11" i="15"/>
  <c r="U82" i="15"/>
  <c r="L192" i="15"/>
  <c r="R190" i="15"/>
  <c r="R162" i="15"/>
  <c r="T47" i="15"/>
  <c r="L160" i="15"/>
  <c r="L16" i="15"/>
  <c r="L101" i="15"/>
  <c r="T97" i="15"/>
  <c r="R31" i="15"/>
  <c r="R15" i="15"/>
  <c r="S98" i="15"/>
  <c r="S110" i="15"/>
  <c r="S128" i="15"/>
  <c r="U145" i="15"/>
  <c r="U162" i="15"/>
  <c r="T182" i="15"/>
  <c r="S7" i="15"/>
  <c r="S15" i="15"/>
  <c r="S23" i="15"/>
  <c r="S31" i="15"/>
  <c r="T39" i="15"/>
  <c r="U47" i="15"/>
  <c r="L65" i="15"/>
  <c r="R81" i="15"/>
  <c r="R96" i="15"/>
  <c r="T108" i="15"/>
  <c r="L122" i="15"/>
  <c r="L137" i="15"/>
  <c r="R159" i="15"/>
  <c r="S176" i="15"/>
  <c r="S192" i="15"/>
  <c r="S67" i="15"/>
  <c r="T75" i="15"/>
  <c r="T83" i="15"/>
  <c r="U91" i="15"/>
  <c r="U99" i="15"/>
  <c r="U119" i="15"/>
  <c r="U135" i="15"/>
  <c r="L155" i="15"/>
  <c r="R172" i="15"/>
  <c r="R187" i="15"/>
  <c r="R115" i="15"/>
  <c r="R123" i="15"/>
  <c r="R131" i="15"/>
  <c r="R138" i="15"/>
  <c r="T147" i="15"/>
  <c r="T156" i="15"/>
  <c r="T164" i="15"/>
  <c r="U180" i="15"/>
  <c r="U188" i="15"/>
  <c r="U196" i="15"/>
  <c r="L121" i="15"/>
  <c r="R63" i="15"/>
  <c r="U77" i="15"/>
  <c r="R9" i="15"/>
  <c r="S61" i="15"/>
  <c r="T141" i="15"/>
  <c r="L34" i="15"/>
  <c r="U62" i="15"/>
  <c r="L91" i="15"/>
  <c r="L116" i="15"/>
  <c r="U164" i="15"/>
  <c r="T196" i="15"/>
  <c r="S60" i="15"/>
  <c r="R166" i="15"/>
  <c r="T29" i="15"/>
  <c r="U22" i="15"/>
  <c r="U55" i="15"/>
  <c r="S78" i="15"/>
  <c r="S122" i="15"/>
  <c r="L113" i="15"/>
  <c r="S154" i="15"/>
  <c r="S163" i="15"/>
  <c r="R94" i="15"/>
  <c r="L176" i="15"/>
  <c r="R59" i="15"/>
  <c r="S126" i="15"/>
  <c r="L162" i="15"/>
  <c r="R141" i="15"/>
  <c r="L59" i="15"/>
  <c r="L128" i="15"/>
  <c r="S184" i="15"/>
  <c r="S76" i="15"/>
  <c r="S190" i="15"/>
  <c r="S83" i="15"/>
  <c r="U27" i="15"/>
  <c r="U63" i="15"/>
  <c r="S145" i="15"/>
  <c r="L27" i="15"/>
  <c r="R32" i="15"/>
  <c r="L72" i="15"/>
  <c r="L182" i="15"/>
  <c r="U35" i="15"/>
  <c r="L24" i="15"/>
  <c r="U56" i="15"/>
  <c r="U84" i="15"/>
  <c r="U132" i="15"/>
  <c r="T116" i="15"/>
  <c r="L156" i="15"/>
  <c r="R153" i="15"/>
  <c r="T88" i="15"/>
  <c r="L147" i="15"/>
  <c r="R48" i="15"/>
  <c r="L109" i="15"/>
  <c r="L92" i="15"/>
  <c r="T133" i="15"/>
  <c r="S46" i="15"/>
  <c r="T119" i="15"/>
  <c r="T179" i="15"/>
  <c r="R68" i="15"/>
  <c r="L169" i="15"/>
  <c r="R55" i="15"/>
  <c r="S96" i="15"/>
  <c r="L26" i="15"/>
  <c r="R53" i="15"/>
  <c r="S139" i="15"/>
  <c r="R83" i="15"/>
  <c r="U85" i="15"/>
  <c r="S149" i="15"/>
  <c r="S17" i="15"/>
  <c r="S25" i="15"/>
  <c r="S33" i="15"/>
  <c r="U41" i="15"/>
  <c r="U49" i="15"/>
  <c r="T67" i="15"/>
  <c r="U83" i="15"/>
  <c r="T98" i="15"/>
  <c r="T110" i="15"/>
  <c r="U124" i="15"/>
  <c r="U139" i="15"/>
  <c r="U161" i="15"/>
  <c r="L180" i="15"/>
  <c r="L196" i="15"/>
  <c r="S69" i="15"/>
  <c r="T77" i="15"/>
  <c r="T85" i="15"/>
  <c r="U93" i="15"/>
  <c r="U101" i="15"/>
  <c r="S125" i="15"/>
  <c r="S140" i="15"/>
  <c r="S157" i="15"/>
  <c r="T189" i="15"/>
  <c r="R117" i="15"/>
  <c r="R125" i="15"/>
  <c r="R133" i="15"/>
  <c r="R140" i="15"/>
  <c r="T150" i="15"/>
  <c r="T158" i="15"/>
  <c r="U166" i="15"/>
  <c r="U174" i="15"/>
  <c r="U182" i="15"/>
  <c r="U190" i="15"/>
  <c r="S183" i="15"/>
  <c r="L112" i="15"/>
  <c r="L56" i="15"/>
  <c r="T66" i="15"/>
  <c r="U26" i="15"/>
  <c r="L67" i="15"/>
  <c r="T55" i="15"/>
  <c r="R72" i="15"/>
  <c r="T93" i="15"/>
  <c r="U125" i="15"/>
  <c r="L168" i="15"/>
  <c r="L19" i="15"/>
  <c r="R92" i="15"/>
  <c r="L189" i="15"/>
  <c r="R45" i="15"/>
  <c r="L31" i="15"/>
  <c r="U57" i="15"/>
  <c r="R91" i="15"/>
  <c r="T138" i="15"/>
  <c r="T122" i="15"/>
  <c r="T171" i="15"/>
  <c r="S135" i="15"/>
  <c r="R87" i="15"/>
  <c r="R105" i="15"/>
  <c r="L32" i="15"/>
  <c r="S102" i="15"/>
  <c r="T51" i="15"/>
  <c r="U126" i="15"/>
  <c r="T42" i="15"/>
  <c r="L66" i="15"/>
  <c r="S162" i="15"/>
  <c r="L62" i="15"/>
  <c r="R35" i="15"/>
  <c r="T94" i="15"/>
  <c r="R20" i="15"/>
  <c r="U14" i="15"/>
  <c r="L55" i="15"/>
  <c r="U116" i="15"/>
  <c r="R183" i="15"/>
  <c r="U170" i="15"/>
  <c r="T54" i="15"/>
  <c r="U39" i="15"/>
  <c r="T24" i="15"/>
  <c r="T8" i="15"/>
  <c r="S105" i="15"/>
  <c r="S113" i="15"/>
  <c r="S134" i="15"/>
  <c r="R155" i="15"/>
  <c r="S172" i="15"/>
  <c r="R192" i="15"/>
  <c r="S10" i="15"/>
  <c r="S18" i="15"/>
  <c r="S26" i="15"/>
  <c r="S34" i="15"/>
  <c r="U42" i="15"/>
  <c r="U50" i="15"/>
  <c r="U68" i="15"/>
  <c r="L87" i="15"/>
  <c r="L103" i="15"/>
  <c r="T111" i="15"/>
  <c r="L127" i="15"/>
  <c r="S143" i="15"/>
  <c r="R165" i="15"/>
  <c r="S181" i="15"/>
  <c r="S62" i="15"/>
  <c r="S70" i="15"/>
  <c r="T78" i="15"/>
  <c r="T86" i="15"/>
  <c r="U94" i="15"/>
  <c r="U102" i="15"/>
  <c r="T126" i="15"/>
  <c r="U141" i="15"/>
  <c r="U158" i="15"/>
  <c r="L178" i="15"/>
  <c r="L194" i="15"/>
  <c r="R118" i="15"/>
  <c r="R126" i="15"/>
  <c r="R134" i="15"/>
  <c r="S141" i="15"/>
  <c r="T151" i="15"/>
  <c r="T159" i="15"/>
  <c r="U167" i="15"/>
  <c r="U175" i="15"/>
  <c r="U183" i="15"/>
  <c r="U191" i="15"/>
  <c r="U163" i="15"/>
  <c r="S94" i="15"/>
  <c r="S54" i="15"/>
  <c r="U64" i="15"/>
  <c r="T35" i="15"/>
  <c r="S93" i="15"/>
  <c r="R180" i="15"/>
  <c r="T56" i="15"/>
  <c r="L77" i="15"/>
  <c r="R100" i="15"/>
  <c r="T132" i="15"/>
  <c r="R40" i="15"/>
  <c r="T102" i="15"/>
  <c r="R196" i="15"/>
  <c r="R49" i="15"/>
  <c r="R34" i="15"/>
  <c r="U58" i="15"/>
  <c r="T92" i="15"/>
  <c r="R154" i="15"/>
  <c r="L129" i="15"/>
  <c r="U133" i="15"/>
  <c r="R79" i="15"/>
  <c r="L99" i="15"/>
  <c r="R28" i="15"/>
  <c r="R46" i="15"/>
  <c r="T27" i="15"/>
  <c r="L107" i="15"/>
  <c r="U36" i="15"/>
  <c r="R62" i="15"/>
  <c r="L152" i="15"/>
  <c r="R60" i="15"/>
  <c r="L88" i="15"/>
  <c r="U28" i="15"/>
  <c r="S88" i="15"/>
  <c r="U18" i="15"/>
  <c r="R112" i="15"/>
  <c r="U21" i="15"/>
  <c r="S53" i="15"/>
  <c r="R38" i="15"/>
  <c r="R23" i="15"/>
  <c r="R7" i="15"/>
  <c r="S106" i="15"/>
  <c r="T114" i="15"/>
  <c r="L138" i="15"/>
  <c r="U156" i="15"/>
  <c r="L175" i="15"/>
  <c r="S193" i="15"/>
  <c r="S11" i="15"/>
  <c r="S19" i="15"/>
  <c r="S27" i="15"/>
  <c r="S35" i="15"/>
  <c r="U43" i="15"/>
  <c r="U51" i="15"/>
  <c r="R73" i="15"/>
  <c r="R88" i="15"/>
  <c r="R104" i="15"/>
  <c r="T112" i="15"/>
  <c r="T128" i="15"/>
  <c r="U144" i="15"/>
  <c r="R171" i="15"/>
  <c r="R186" i="15"/>
  <c r="S63" i="15"/>
  <c r="S71" i="15"/>
  <c r="T79" i="15"/>
  <c r="U87" i="15"/>
  <c r="U95" i="15"/>
  <c r="U103" i="15"/>
  <c r="U127" i="15"/>
  <c r="L146" i="15"/>
  <c r="L163" i="15"/>
  <c r="R179" i="15"/>
  <c r="R195" i="15"/>
  <c r="R119" i="15"/>
  <c r="R127" i="15"/>
  <c r="R135" i="15"/>
  <c r="T143" i="15"/>
  <c r="T152" i="15"/>
  <c r="T160" i="15"/>
  <c r="U168" i="15"/>
  <c r="U176" i="15"/>
  <c r="U184" i="15"/>
  <c r="U192" i="15"/>
  <c r="S153" i="15"/>
  <c r="S87" i="15"/>
  <c r="S50" i="15"/>
  <c r="L58" i="15"/>
  <c r="L52" i="15"/>
  <c r="L100" i="15"/>
  <c r="T183" i="15"/>
  <c r="T57" i="15"/>
  <c r="R78" i="15"/>
  <c r="S101" i="15"/>
  <c r="U146" i="15"/>
  <c r="R182" i="15"/>
  <c r="L45" i="15"/>
  <c r="R109" i="15"/>
  <c r="T9" i="15"/>
  <c r="L8" i="15"/>
  <c r="U37" i="15"/>
  <c r="U60" i="15"/>
  <c r="T101" i="15"/>
  <c r="S171" i="15"/>
  <c r="U136" i="15"/>
  <c r="T191" i="15"/>
  <c r="S131" i="15"/>
  <c r="R61" i="15"/>
  <c r="T95" i="15"/>
  <c r="L25" i="15"/>
  <c r="T10" i="15"/>
  <c r="U110" i="15"/>
  <c r="L105" i="15"/>
  <c r="U10" i="15"/>
  <c r="L44" i="15"/>
  <c r="L126" i="15"/>
  <c r="T33" i="15"/>
  <c r="S47" i="15"/>
  <c r="R12" i="15"/>
  <c r="U80" i="15"/>
  <c r="R11" i="15"/>
  <c r="T63" i="15"/>
  <c r="R71" i="15"/>
  <c r="T5" i="15"/>
  <c r="L149" i="15"/>
  <c r="R170" i="15"/>
  <c r="T170" i="15"/>
  <c r="L170" i="15"/>
  <c r="T149" i="15"/>
  <c r="U142" i="15"/>
  <c r="R149" i="15"/>
  <c r="T125" i="15"/>
  <c r="U4" i="15"/>
  <c r="S40" i="15"/>
  <c r="T19" i="15"/>
  <c r="U40" i="15"/>
  <c r="U59" i="15"/>
  <c r="L86" i="15"/>
  <c r="U120" i="15"/>
  <c r="R177" i="15"/>
  <c r="L131" i="15"/>
  <c r="R163" i="15"/>
  <c r="U165" i="15"/>
  <c r="S115" i="15"/>
  <c r="L70" i="15"/>
  <c r="R145" i="15"/>
  <c r="L71" i="15"/>
  <c r="T21" i="15"/>
  <c r="L38" i="15"/>
  <c r="L82" i="15"/>
  <c r="S152" i="15"/>
  <c r="S91" i="15"/>
  <c r="L17" i="15"/>
  <c r="R113" i="15"/>
  <c r="S186" i="15"/>
  <c r="R102" i="15"/>
  <c r="L40" i="15"/>
  <c r="U153" i="15"/>
  <c r="U112" i="15"/>
  <c r="R169" i="15"/>
  <c r="R82" i="15"/>
  <c r="R24" i="15"/>
  <c r="L90" i="15"/>
  <c r="T41" i="15"/>
  <c r="R99" i="15"/>
  <c r="U73" i="15"/>
  <c r="U69" i="15"/>
  <c r="U149" i="15"/>
  <c r="L142" i="15"/>
  <c r="T142" i="15"/>
  <c r="R47" i="15"/>
  <c r="S48" i="15"/>
  <c r="T43" i="15"/>
  <c r="L78" i="15"/>
  <c r="S159" i="15"/>
  <c r="L39" i="15"/>
  <c r="T61" i="15"/>
  <c r="S84" i="15"/>
  <c r="L108" i="15"/>
  <c r="U148" i="15"/>
  <c r="T180" i="15"/>
  <c r="R25" i="15"/>
  <c r="S79" i="15"/>
  <c r="R157" i="15"/>
  <c r="L18" i="15"/>
  <c r="U6" i="15"/>
  <c r="U29" i="15"/>
  <c r="R54" i="15"/>
  <c r="U67" i="15"/>
  <c r="S100" i="15"/>
  <c r="T136" i="15"/>
  <c r="U108" i="15"/>
  <c r="L140" i="15"/>
  <c r="S179" i="15"/>
  <c r="L144" i="15"/>
  <c r="T103" i="15"/>
  <c r="U5" i="15"/>
  <c r="L97" i="15"/>
  <c r="R41" i="15"/>
  <c r="L7" i="15"/>
  <c r="L46" i="15"/>
  <c r="T12" i="15"/>
  <c r="U128" i="15"/>
  <c r="T64" i="15"/>
  <c r="S156" i="15"/>
  <c r="R56" i="15"/>
  <c r="S174" i="15"/>
  <c r="U78" i="15"/>
  <c r="R10" i="15"/>
  <c r="R57" i="15"/>
  <c r="L53" i="15"/>
  <c r="U160" i="15"/>
  <c r="L60" i="15"/>
  <c r="U12" i="15"/>
  <c r="T18" i="15"/>
  <c r="S41" i="15"/>
  <c r="S77" i="15"/>
  <c r="T28" i="15"/>
  <c r="S170" i="15"/>
  <c r="S142" i="15"/>
</calcChain>
</file>

<file path=xl/sharedStrings.xml><?xml version="1.0" encoding="utf-8"?>
<sst xmlns="http://schemas.openxmlformats.org/spreadsheetml/2006/main" count="2109" uniqueCount="995">
  <si>
    <t>-</t>
  </si>
  <si>
    <t>Bandung</t>
  </si>
  <si>
    <t>197005112007011002</t>
  </si>
  <si>
    <t>197206302014091003</t>
  </si>
  <si>
    <t>Achmad Qomarudin Shaleh</t>
  </si>
  <si>
    <t>197212112007011001</t>
  </si>
  <si>
    <t>Adang Junaedi</t>
  </si>
  <si>
    <t>197309052007101001</t>
  </si>
  <si>
    <t>197612122008101001</t>
  </si>
  <si>
    <t>Ade Taryat</t>
  </si>
  <si>
    <t>197908022007101001</t>
  </si>
  <si>
    <t>Adi Supriadi</t>
  </si>
  <si>
    <t>197708292009101001</t>
  </si>
  <si>
    <t>Agus Saepul</t>
  </si>
  <si>
    <t>198508022009101001</t>
  </si>
  <si>
    <t>197903252014091001</t>
  </si>
  <si>
    <t>Ahdiat Kurniawan</t>
  </si>
  <si>
    <t>197601012014091003</t>
  </si>
  <si>
    <t>196905181999031001</t>
  </si>
  <si>
    <t>198009302014091002</t>
  </si>
  <si>
    <t>197401101994032001</t>
  </si>
  <si>
    <t>Ani Raniati</t>
  </si>
  <si>
    <t>197307082008102001</t>
  </si>
  <si>
    <t>198308122009101001</t>
  </si>
  <si>
    <t>Anton Soejarwo</t>
  </si>
  <si>
    <t>198312292014091001</t>
  </si>
  <si>
    <t>Argie Rizki Maulana</t>
  </si>
  <si>
    <t>198003152009101001</t>
  </si>
  <si>
    <t>Ari Darmawan</t>
  </si>
  <si>
    <t>197104192014091001</t>
  </si>
  <si>
    <t>Aries Budi Suharto</t>
  </si>
  <si>
    <t>196912042009101001</t>
  </si>
  <si>
    <t>Asep Koswara</t>
  </si>
  <si>
    <t>198004132008101001</t>
  </si>
  <si>
    <t>197401082007101002</t>
  </si>
  <si>
    <t>Asep Najar Husnika</t>
  </si>
  <si>
    <t>197803162009102001</t>
  </si>
  <si>
    <t>197309222007011001</t>
  </si>
  <si>
    <t>Ayi Ratno Permana</t>
  </si>
  <si>
    <t>198109292007101001</t>
  </si>
  <si>
    <t>Cepi Kusmayadi</t>
  </si>
  <si>
    <t>197310152008102001</t>
  </si>
  <si>
    <t>197009132014091003</t>
  </si>
  <si>
    <t>Cucu Sukmara</t>
  </si>
  <si>
    <t>197701212008101001</t>
  </si>
  <si>
    <t>Dany Kurniawan</t>
  </si>
  <si>
    <t>197604092007011001</t>
  </si>
  <si>
    <t>Dawam Suherlan</t>
  </si>
  <si>
    <t>198208072009101002</t>
  </si>
  <si>
    <t>196910181993031002</t>
  </si>
  <si>
    <t>Dedi Rohaedi</t>
  </si>
  <si>
    <t>196808021994031003</t>
  </si>
  <si>
    <t>Dendi</t>
  </si>
  <si>
    <t>198303312009101001</t>
  </si>
  <si>
    <t>198212182009101002</t>
  </si>
  <si>
    <t>Deni Riskanda</t>
  </si>
  <si>
    <t>197102122014091002</t>
  </si>
  <si>
    <t>198204272009102001</t>
  </si>
  <si>
    <t>198202082014091003</t>
  </si>
  <si>
    <t>197501042008101002</t>
  </si>
  <si>
    <t>197005022008101001</t>
  </si>
  <si>
    <t>197907142014091002</t>
  </si>
  <si>
    <t>197505142014091003</t>
  </si>
  <si>
    <t>Erwin Muftiwijaya</t>
  </si>
  <si>
    <t>197802122008102001</t>
  </si>
  <si>
    <t>198108022014091001</t>
  </si>
  <si>
    <t>Guntur Palesa</t>
  </si>
  <si>
    <t>197201062008101001</t>
  </si>
  <si>
    <t>Hariyanto Purnomo</t>
  </si>
  <si>
    <t>197503251999032001</t>
  </si>
  <si>
    <t>197102142008101001</t>
  </si>
  <si>
    <t>198205102008101001</t>
  </si>
  <si>
    <t>Ihat</t>
  </si>
  <si>
    <t>197912112009101001</t>
  </si>
  <si>
    <t>Iip Saripudin</t>
  </si>
  <si>
    <t>198404272014091001</t>
  </si>
  <si>
    <t>Iman Kurniawan</t>
  </si>
  <si>
    <t>198102232009101001</t>
  </si>
  <si>
    <t>Iman Supriatna</t>
  </si>
  <si>
    <t>197402132008102001</t>
  </si>
  <si>
    <t>197904052009102001</t>
  </si>
  <si>
    <t>197510271999032002</t>
  </si>
  <si>
    <t>197707112009102002</t>
  </si>
  <si>
    <t>197303312009101001</t>
  </si>
  <si>
    <t>Irfan Anis Ahmad</t>
  </si>
  <si>
    <t>198411282014091001</t>
  </si>
  <si>
    <t>198208292014091004</t>
  </si>
  <si>
    <t>197605022000032002</t>
  </si>
  <si>
    <t>197511292002121001</t>
  </si>
  <si>
    <t>Iwan Darmawan</t>
  </si>
  <si>
    <t>197412092007011001</t>
  </si>
  <si>
    <t>Iwan Setiawan</t>
  </si>
  <si>
    <t>197209302009101001</t>
  </si>
  <si>
    <t>Junaedi</t>
  </si>
  <si>
    <t>197106032007011002</t>
  </si>
  <si>
    <t>Juni Asmara</t>
  </si>
  <si>
    <t>197811282009101003</t>
  </si>
  <si>
    <t>197812272001121002</t>
  </si>
  <si>
    <t>197101232009102001</t>
  </si>
  <si>
    <t>Mamah Jamah</t>
  </si>
  <si>
    <t>197006152005011001</t>
  </si>
  <si>
    <t>Maman</t>
  </si>
  <si>
    <t>196912272007011001</t>
  </si>
  <si>
    <t>Mohamad Rachmansjah</t>
  </si>
  <si>
    <t>197908242014091002</t>
  </si>
  <si>
    <t>Muhamad Joko Prawoto</t>
  </si>
  <si>
    <t>197107142008101001</t>
  </si>
  <si>
    <t>Mustopa Hegar</t>
  </si>
  <si>
    <t>198307312014092001</t>
  </si>
  <si>
    <t>Naelah Mazidah</t>
  </si>
  <si>
    <t>196907182007011001</t>
  </si>
  <si>
    <t>Nanang Santoso</t>
  </si>
  <si>
    <t>197905182014092002</t>
  </si>
  <si>
    <t>197608221999032001</t>
  </si>
  <si>
    <t>197711192014092003</t>
  </si>
  <si>
    <t>Noviaty Ningsih</t>
  </si>
  <si>
    <t>197611232008102001</t>
  </si>
  <si>
    <t>197903082007011003</t>
  </si>
  <si>
    <t>Nurdin</t>
  </si>
  <si>
    <t>197510062009102001</t>
  </si>
  <si>
    <t>198309122014092001</t>
  </si>
  <si>
    <t>197010072014092001</t>
  </si>
  <si>
    <t>198001082014091001</t>
  </si>
  <si>
    <t>197901241999031004</t>
  </si>
  <si>
    <t>Rahmat Mulyana</t>
  </si>
  <si>
    <t>198207112014091004</t>
  </si>
  <si>
    <t>Ramli Mardiana</t>
  </si>
  <si>
    <t>198302092014092002</t>
  </si>
  <si>
    <t>196901092014091001</t>
  </si>
  <si>
    <t>197504262003121002</t>
  </si>
  <si>
    <t>197610142008102001</t>
  </si>
  <si>
    <t>Rosdiyani</t>
  </si>
  <si>
    <t>198205252009101001</t>
  </si>
  <si>
    <t>Rusyana</t>
  </si>
  <si>
    <t>197403012014091001</t>
  </si>
  <si>
    <t>Sigit Sumaryanto</t>
  </si>
  <si>
    <t>197607172008102002</t>
  </si>
  <si>
    <t>197612142008101001</t>
  </si>
  <si>
    <t>Sudrajat Gumelar</t>
  </si>
  <si>
    <t>198205152008101001</t>
  </si>
  <si>
    <t>Suherlan</t>
  </si>
  <si>
    <t>197701162000031002</t>
  </si>
  <si>
    <t>Suryana</t>
  </si>
  <si>
    <t>197011132009101001</t>
  </si>
  <si>
    <t>Syarif Hidayat Suherman</t>
  </si>
  <si>
    <t>197512052007011002</t>
  </si>
  <si>
    <t>Tatang Koswara</t>
  </si>
  <si>
    <t>198009032014091002</t>
  </si>
  <si>
    <t>198201072001121002</t>
  </si>
  <si>
    <t>Tatang Shandyka</t>
  </si>
  <si>
    <t>198308312014091002</t>
  </si>
  <si>
    <t>197807122014092001</t>
  </si>
  <si>
    <t>198110092014091001</t>
  </si>
  <si>
    <t>Ujang Suryana</t>
  </si>
  <si>
    <t>198007172007011001</t>
  </si>
  <si>
    <t>Usep</t>
  </si>
  <si>
    <t>197805212009101001</t>
  </si>
  <si>
    <t>197601112009102001</t>
  </si>
  <si>
    <t>197512272014092001</t>
  </si>
  <si>
    <t>198103112009102001</t>
  </si>
  <si>
    <t>198108222009122002</t>
  </si>
  <si>
    <t>197907042014091002</t>
  </si>
  <si>
    <t>197511162009121002</t>
  </si>
  <si>
    <t>198109202009102001</t>
  </si>
  <si>
    <t>197208052014091003</t>
  </si>
  <si>
    <t>Yayat Hidayat</t>
  </si>
  <si>
    <t>197904012008102001</t>
  </si>
  <si>
    <t>Yeni Kuswati</t>
  </si>
  <si>
    <t>197909202014092002</t>
  </si>
  <si>
    <t>197803272008101001</t>
  </si>
  <si>
    <t>196806282007011001</t>
  </si>
  <si>
    <t>Zaenudin</t>
  </si>
  <si>
    <t>NIP</t>
  </si>
  <si>
    <t>NAMA</t>
  </si>
  <si>
    <t>197704031999032002</t>
  </si>
  <si>
    <t>DATA TENDIK FAKULTAS KEDOKTERAN UNPAD</t>
  </si>
  <si>
    <t>NO</t>
  </si>
  <si>
    <t>STATUS</t>
  </si>
  <si>
    <t>JABATAN FUNGSIONAL</t>
  </si>
  <si>
    <t>TYPE</t>
  </si>
  <si>
    <t>TANGGAL LAHIR</t>
  </si>
  <si>
    <t>USIA</t>
  </si>
  <si>
    <t>PNS</t>
  </si>
  <si>
    <t>JF</t>
  </si>
  <si>
    <t>Imas Kuraesin, SE</t>
  </si>
  <si>
    <t>197510142016023001</t>
  </si>
  <si>
    <t>Non PNS</t>
  </si>
  <si>
    <t>JF-NPNS</t>
  </si>
  <si>
    <t>Yanto Sukmayanto, A.MK</t>
  </si>
  <si>
    <t>Akin Mutakin, A.MK</t>
  </si>
  <si>
    <t>Wiwin Widaningsih, A.MK</t>
  </si>
  <si>
    <t>198411082016024001</t>
  </si>
  <si>
    <t>Jessi Annisa, S.Si., M.Si.</t>
  </si>
  <si>
    <t>198705182016024001</t>
  </si>
  <si>
    <t>Triana Nurul Meirina, S.Si</t>
  </si>
  <si>
    <t>198706052016023001</t>
  </si>
  <si>
    <t>Harold Eka Atmaja, S.Si, M.Si</t>
  </si>
  <si>
    <t>Rizbanu Karsenoadi, SE</t>
  </si>
  <si>
    <t>Isabela Saribanon Martadiredja, A.Md.</t>
  </si>
  <si>
    <t>197811062016024001</t>
  </si>
  <si>
    <t>Tresnawati, S.Sn</t>
  </si>
  <si>
    <t>198001122016024001</t>
  </si>
  <si>
    <t>Nurul Rizniyani, S.I.Kom.</t>
  </si>
  <si>
    <t>Taufiq Mohamad Ridwan, A.Md.</t>
  </si>
  <si>
    <t>Erry Ma'mun</t>
  </si>
  <si>
    <t>Helmi Hamimah, S.Si</t>
  </si>
  <si>
    <t>Yayah Nuriyah, S.AP</t>
  </si>
  <si>
    <t>Ipah Sariningrum, S.AP</t>
  </si>
  <si>
    <t>Dicky Noor Firmansyah, A.Md.</t>
  </si>
  <si>
    <t>198211082016024001</t>
  </si>
  <si>
    <t>198611222016023001</t>
  </si>
  <si>
    <t>Syahid Nurzaman, SE.</t>
  </si>
  <si>
    <t>197710202016023001</t>
  </si>
  <si>
    <t>Deddy Supriadi, A.Md</t>
  </si>
  <si>
    <t>197811162016024001</t>
  </si>
  <si>
    <t>198411042016024001</t>
  </si>
  <si>
    <t>Neng Lely Herdiyani, S.IP, M.AP</t>
  </si>
  <si>
    <t>197708292016024001</t>
  </si>
  <si>
    <t>Anggreani Selyafitri, SE.Ak</t>
  </si>
  <si>
    <t>198204062016023001</t>
  </si>
  <si>
    <t>Hendrayana, S.Sos</t>
  </si>
  <si>
    <t>198901282012103001</t>
  </si>
  <si>
    <t>Robby Rubyanto Suradi, A.Md.</t>
  </si>
  <si>
    <t>Iryuda Prawira Utama, S.Si</t>
  </si>
  <si>
    <t>Widiya Hernawati, S.AP</t>
  </si>
  <si>
    <t>197708202016023001</t>
  </si>
  <si>
    <t>Ajat Sudrajat, S.E</t>
  </si>
  <si>
    <t>197507192019063001</t>
  </si>
  <si>
    <t>197303192016023001</t>
  </si>
  <si>
    <t>A. Wahyu, A.Md</t>
  </si>
  <si>
    <t>Grahni Ahdiani Mintarsih, A.Md</t>
  </si>
  <si>
    <t>197907072016023001</t>
  </si>
  <si>
    <t>Evan Susandi, S.Si, MM</t>
  </si>
  <si>
    <t>198201062016023001</t>
  </si>
  <si>
    <t>Faizal Hamzah, S.T</t>
  </si>
  <si>
    <t>Wardi Erawan, S.AP</t>
  </si>
  <si>
    <t>198409132016024001</t>
  </si>
  <si>
    <t>Lisna Indriani, S.I.Kom</t>
  </si>
  <si>
    <t>196806282019063001</t>
  </si>
  <si>
    <t>Dedi Juandi</t>
  </si>
  <si>
    <t>196810012019063001</t>
  </si>
  <si>
    <t>Isak Apendi</t>
  </si>
  <si>
    <t>Aep Hidayat</t>
  </si>
  <si>
    <t>197705262016023001</t>
  </si>
  <si>
    <t xml:space="preserve">Agus Sukarsah </t>
  </si>
  <si>
    <t>197808162019063001</t>
  </si>
  <si>
    <t>Suseno</t>
  </si>
  <si>
    <t>198005152016023001</t>
  </si>
  <si>
    <t xml:space="preserve">Uus Rustandi </t>
  </si>
  <si>
    <t>198908152016023001</t>
  </si>
  <si>
    <t xml:space="preserve">Ganjar Nurjaman </t>
  </si>
  <si>
    <t>199104212016023001</t>
  </si>
  <si>
    <t xml:space="preserve">Jeni Sofiyan </t>
  </si>
  <si>
    <t>Rd. Dadang Hermana, A.Md</t>
  </si>
  <si>
    <t>Sri Nurhayati, S.AP</t>
  </si>
  <si>
    <t>Nur Novianti, S.E</t>
  </si>
  <si>
    <t>Ayi Nurdaliah Yusuf, A.Md</t>
  </si>
  <si>
    <t>Imelda, SE</t>
  </si>
  <si>
    <t>197907132016023001</t>
  </si>
  <si>
    <t xml:space="preserve">Wawan Setiawan </t>
  </si>
  <si>
    <t>198305132016023001</t>
  </si>
  <si>
    <t xml:space="preserve">Jaka Budiadi </t>
  </si>
  <si>
    <t>198708252016023001</t>
  </si>
  <si>
    <t xml:space="preserve">Mamat Rahmat </t>
  </si>
  <si>
    <t>Kasmadi, S.H</t>
  </si>
  <si>
    <t>Ratna Wulan, SH</t>
  </si>
  <si>
    <t>Dodi Sofyan, SE</t>
  </si>
  <si>
    <t>Deviyanti, S.Si</t>
  </si>
  <si>
    <t>Yopi Taufik Limatranendra, S.M</t>
  </si>
  <si>
    <t>Neneng Ratnasari Rosa, S.Tr.Akun.</t>
  </si>
  <si>
    <t>198008192016023001</t>
  </si>
  <si>
    <t>Cheppy Agustiana, A.Md</t>
  </si>
  <si>
    <t>Dede Nurdin, S.Tr.Akun.</t>
  </si>
  <si>
    <t>198302022016023001</t>
  </si>
  <si>
    <t xml:space="preserve">Miki Sadiman </t>
  </si>
  <si>
    <t>Kelik Purnomo, S.AP</t>
  </si>
  <si>
    <t>Yadi Supriyadi, A.Md</t>
  </si>
  <si>
    <t>198203022016023001</t>
  </si>
  <si>
    <t xml:space="preserve">Dayat Gustiawan Susanto </t>
  </si>
  <si>
    <t>Tri Yuli Siswanti, S.Si.</t>
  </si>
  <si>
    <t>199305072016024001</t>
  </si>
  <si>
    <t>Fensi Amalina, S.Si.</t>
  </si>
  <si>
    <t>197906042016023001</t>
  </si>
  <si>
    <t xml:space="preserve">Enur Jaenudin </t>
  </si>
  <si>
    <t>199312202016024001</t>
  </si>
  <si>
    <t>Yukan Niko Agrianfanny, A.Md.AK</t>
  </si>
  <si>
    <t>198903312016083001</t>
  </si>
  <si>
    <t>Riksa Parikrama, S.Si</t>
  </si>
  <si>
    <t>199312142016084001</t>
  </si>
  <si>
    <t>Nur Amalia Rosyada, S.Si.</t>
  </si>
  <si>
    <t>Nurul Setia Rahayu, SP</t>
  </si>
  <si>
    <t>Inayah, SKM</t>
  </si>
  <si>
    <t>197612122016023001</t>
  </si>
  <si>
    <t xml:space="preserve">Dodi Setiadi </t>
  </si>
  <si>
    <t>198304092016024001</t>
  </si>
  <si>
    <t>Nita Widyastuti, S.IP</t>
  </si>
  <si>
    <t>Cicih Carnasih, S.AP</t>
  </si>
  <si>
    <t>198411132016023001</t>
  </si>
  <si>
    <t xml:space="preserve">Hermawan </t>
  </si>
  <si>
    <t>Nenni Nurhaeni, A.Md</t>
  </si>
  <si>
    <t>197805282016023001</t>
  </si>
  <si>
    <t>198202052016023001</t>
  </si>
  <si>
    <t xml:space="preserve">Utep Setiawan </t>
  </si>
  <si>
    <t>198206212016023001</t>
  </si>
  <si>
    <t xml:space="preserve">Wandi Sagala </t>
  </si>
  <si>
    <t>Yeni Rendieni, S.KM</t>
  </si>
  <si>
    <t>Rahadian, A.Md</t>
  </si>
  <si>
    <t>198409072016024001</t>
  </si>
  <si>
    <t xml:space="preserve">Nuni Haeruni </t>
  </si>
  <si>
    <t>198602122016024001</t>
  </si>
  <si>
    <t xml:space="preserve">Dwi Febni Ratnaningsih </t>
  </si>
  <si>
    <t>198610182016024001</t>
  </si>
  <si>
    <t>Rd Lita Putri Suciati, S.Si</t>
  </si>
  <si>
    <t>198708082016024001</t>
  </si>
  <si>
    <t>Atu Purnama Dewi, S.Si</t>
  </si>
  <si>
    <t>198907312016023001</t>
  </si>
  <si>
    <t xml:space="preserve">Yusak Sastra Atmaja </t>
  </si>
  <si>
    <t>198401062016024001</t>
  </si>
  <si>
    <t>Yanu Arianti Puspitarini, S.Si, M.Biotek.</t>
  </si>
  <si>
    <t>198703152016024001</t>
  </si>
  <si>
    <t>Erlina Widiarsih, S.Si.</t>
  </si>
  <si>
    <t>199304132016024001</t>
  </si>
  <si>
    <t>198509182016023001</t>
  </si>
  <si>
    <t>Adhi Taufiq Akbar, S.T</t>
  </si>
  <si>
    <t>Hery Hamdani, S.Pd</t>
  </si>
  <si>
    <t>Erwien Iswanto, A.Md</t>
  </si>
  <si>
    <t>Amas Sutardi, A.Md.</t>
  </si>
  <si>
    <t>Aceng Nana, S.AP</t>
  </si>
  <si>
    <t>198403272016023001</t>
  </si>
  <si>
    <t xml:space="preserve">Adimyati </t>
  </si>
  <si>
    <t>197009141995021001</t>
  </si>
  <si>
    <t>Encep Budi Rusmiadi</t>
  </si>
  <si>
    <t>197802232016023001</t>
  </si>
  <si>
    <t xml:space="preserve">Ading </t>
  </si>
  <si>
    <t>Agus Supriatna, S.Sos.</t>
  </si>
  <si>
    <t>197602242016023001</t>
  </si>
  <si>
    <t xml:space="preserve">Beben Ii Somantri </t>
  </si>
  <si>
    <t>Irvan Nursistawan, S.Kom</t>
  </si>
  <si>
    <t>Wini Rahayu, S.Sos.</t>
  </si>
  <si>
    <t>Nuryanti, A.Md.</t>
  </si>
  <si>
    <t>Andi Darmawan, A.Md</t>
  </si>
  <si>
    <t>198405222016023001</t>
  </si>
  <si>
    <t xml:space="preserve">Shandra Ginanjar </t>
  </si>
  <si>
    <t>Anna Yulia, SH</t>
  </si>
  <si>
    <t>Tatang Rahmat, S.E</t>
  </si>
  <si>
    <t>Asep Kurnia, S.AP</t>
  </si>
  <si>
    <t>Ade Komarudin, S.E</t>
  </si>
  <si>
    <t>Widiastuti, S.AP</t>
  </si>
  <si>
    <t>199004232016024001</t>
  </si>
  <si>
    <t>Devi Fabiola Syahfitri, S.Kom</t>
  </si>
  <si>
    <t>Devivi Hafidah, S.AP</t>
  </si>
  <si>
    <t>Depi Setiaji, S.AP</t>
  </si>
  <si>
    <t>197712162016024001</t>
  </si>
  <si>
    <t>Wartini, S.Kom</t>
  </si>
  <si>
    <t>197902012019063001</t>
  </si>
  <si>
    <t>Dede Junaherna</t>
  </si>
  <si>
    <t>198905092012103001</t>
  </si>
  <si>
    <t>Shandi Adiwijaya, S.T</t>
  </si>
  <si>
    <t>197201302006042004</t>
  </si>
  <si>
    <t xml:space="preserve">Marliana, SE. </t>
  </si>
  <si>
    <t>Guru Besar</t>
  </si>
  <si>
    <t>Lektor</t>
  </si>
  <si>
    <t>Lektor Kepala</t>
  </si>
  <si>
    <t xml:space="preserve">Tenny Putri Wikayani, S.ST. </t>
  </si>
  <si>
    <t>198806142010122007</t>
  </si>
  <si>
    <t>Fitria Utami, A.Md.AK.</t>
  </si>
  <si>
    <t>198307112010122003</t>
  </si>
  <si>
    <t>III/a</t>
  </si>
  <si>
    <t>II/b</t>
  </si>
  <si>
    <t>II/c</t>
  </si>
  <si>
    <t>II/d</t>
  </si>
  <si>
    <t>I/d</t>
  </si>
  <si>
    <t>III/d</t>
  </si>
  <si>
    <t>III/b</t>
  </si>
  <si>
    <t>III/c</t>
  </si>
  <si>
    <t>I/b</t>
  </si>
  <si>
    <t>Arsiparis Penyelia</t>
  </si>
  <si>
    <t>II/a</t>
  </si>
  <si>
    <t>I/c</t>
  </si>
  <si>
    <t>PANGKAT</t>
  </si>
  <si>
    <t>GOL.</t>
  </si>
  <si>
    <t>TMT PANGKAT</t>
  </si>
  <si>
    <t>MASA KERJA PANGKAT</t>
  </si>
  <si>
    <t xml:space="preserve">Ahmad </t>
  </si>
  <si>
    <t>Dedi Supriadi</t>
  </si>
  <si>
    <t xml:space="preserve">Nendi Setiawendy </t>
  </si>
  <si>
    <t xml:space="preserve">Nunung Kurniati, S.Si., MAP. </t>
  </si>
  <si>
    <t>IV/a</t>
  </si>
  <si>
    <t>Bendahara Fakultas</t>
  </si>
  <si>
    <t>197504121999032001</t>
  </si>
  <si>
    <t>197008122007011002</t>
  </si>
  <si>
    <t>Asep Harmaen</t>
  </si>
  <si>
    <t>Pengadministrasi Keuangan</t>
  </si>
  <si>
    <t>Pramu</t>
  </si>
  <si>
    <t>Pengadministrasi Akademik</t>
  </si>
  <si>
    <t>Teknisi Pelaksana</t>
  </si>
  <si>
    <t>Koordinator Bidang Tata Kelola dan Informasi</t>
  </si>
  <si>
    <t>197610082007011001</t>
  </si>
  <si>
    <t>Pengadministrasi Sarana dan Prasarana</t>
  </si>
  <si>
    <t>Pengelola Pengadaan Barang dan Jasa</t>
  </si>
  <si>
    <t>Pranata Laboratorium Pendidikan Pelaksana Lanjutan</t>
  </si>
  <si>
    <t>Pengadministrasi Kepegawaian</t>
  </si>
  <si>
    <t>Pengolah Data Akademik</t>
  </si>
  <si>
    <t>Teknisi Terampil</t>
  </si>
  <si>
    <t>Deni Komara, A.Md.A.K.</t>
  </si>
  <si>
    <t>Pengelola Kepegawaian</t>
  </si>
  <si>
    <t>Pengelola Akademik dan Kemahasiswaan</t>
  </si>
  <si>
    <t>Pengolah Data Perencanaan dan Penganggaran</t>
  </si>
  <si>
    <t>Teknisi Ahli</t>
  </si>
  <si>
    <t>Pengelola Sarana dan Prasarana</t>
  </si>
  <si>
    <t>Pengadministrasi Umum</t>
  </si>
  <si>
    <t>Pengadministrasi Tata Kelola</t>
  </si>
  <si>
    <t>Pengolah Data Penelitian</t>
  </si>
  <si>
    <t>Pengemudi</t>
  </si>
  <si>
    <t>Analis Pengadaan Barang dan Jasa</t>
  </si>
  <si>
    <t>Analis Tata Kelola</t>
  </si>
  <si>
    <t>Pengolah Data Keuangan</t>
  </si>
  <si>
    <t>197308142016023001</t>
  </si>
  <si>
    <t>Analis Kepegawaian</t>
  </si>
  <si>
    <t>Sekretaris Program Studi Kedokteran</t>
  </si>
  <si>
    <t>Jakarta</t>
  </si>
  <si>
    <t>Sumedang</t>
  </si>
  <si>
    <t>Kadipaten</t>
  </si>
  <si>
    <t>Kuningan</t>
  </si>
  <si>
    <t>Cirebon</t>
  </si>
  <si>
    <t>Tasikmalaya</t>
  </si>
  <si>
    <t>Medan</t>
  </si>
  <si>
    <t>Indramayu</t>
  </si>
  <si>
    <t>Ciililin</t>
  </si>
  <si>
    <t>Cimahi</t>
  </si>
  <si>
    <t>Ciamis</t>
  </si>
  <si>
    <t>Garut</t>
  </si>
  <si>
    <t>Karawang</t>
  </si>
  <si>
    <t>Subang</t>
  </si>
  <si>
    <t>Majalengka</t>
  </si>
  <si>
    <t>Solo</t>
  </si>
  <si>
    <t>Bekasi</t>
  </si>
  <si>
    <t>Pandeglang</t>
  </si>
  <si>
    <t>Jayapura</t>
  </si>
  <si>
    <t>Lembang</t>
  </si>
  <si>
    <t>Banyuwangi</t>
  </si>
  <si>
    <t>Cikeruh, Sumedang</t>
  </si>
  <si>
    <t>Bandung/Katapang</t>
  </si>
  <si>
    <t>Tuban</t>
  </si>
  <si>
    <t>Kulon Progo</t>
  </si>
  <si>
    <t>Tanjung Pandan</t>
  </si>
  <si>
    <t>Cikeruh</t>
  </si>
  <si>
    <t>Mulyana</t>
  </si>
  <si>
    <t>Bangka</t>
  </si>
  <si>
    <t>Lebak</t>
  </si>
  <si>
    <t>Bantul</t>
  </si>
  <si>
    <t>Gunung Kidul</t>
  </si>
  <si>
    <t>Banyumas</t>
  </si>
  <si>
    <t>Ina Maryana, SE</t>
  </si>
  <si>
    <t>PANGKAT DAN GOLONGAN</t>
  </si>
  <si>
    <t>JABATAN</t>
  </si>
  <si>
    <t>I/a</t>
  </si>
  <si>
    <t>Juru Muda</t>
  </si>
  <si>
    <t>Juru Muda Tk. I</t>
  </si>
  <si>
    <t>Penata Muda (Gol. III/a)</t>
  </si>
  <si>
    <t>Asisten Ahli</t>
  </si>
  <si>
    <t>Penata Muda Tk.I (Gol. III/b)</t>
  </si>
  <si>
    <t>Penata (Gol. III/c)</t>
  </si>
  <si>
    <t>Penata Tk.I (Gol. III/d)</t>
  </si>
  <si>
    <t>Pembina (Gol. IV/a)</t>
  </si>
  <si>
    <t>IV/b</t>
  </si>
  <si>
    <t>Pembina Tk.I (Gol. IV/b)</t>
  </si>
  <si>
    <t>IV/c</t>
  </si>
  <si>
    <t>Pembina Utama Muda (Gol. IV/c)</t>
  </si>
  <si>
    <t>IV/d</t>
  </si>
  <si>
    <t>Pembina Utama Madya (Gol. IV/d)</t>
  </si>
  <si>
    <t>IV/e</t>
  </si>
  <si>
    <t>Pembina Utama (Gol. IV/e)</t>
  </si>
  <si>
    <t>Pengatur Tk. I (Gol. II/d)</t>
  </si>
  <si>
    <t>Pengatur (Gol. II/c)</t>
  </si>
  <si>
    <t>Pengatur Muda Tk. I (Gol. II/b)</t>
  </si>
  <si>
    <t>Pengatur Muda (Gol. II/a)</t>
  </si>
  <si>
    <t>Juru Tk. I (Gol. I/d)</t>
  </si>
  <si>
    <t>Juru (Gol. I/c)</t>
  </si>
  <si>
    <t>198401062008012005</t>
  </si>
  <si>
    <t xml:space="preserve">Prima Trisnawati , S.Sos. </t>
  </si>
  <si>
    <t>JFT</t>
  </si>
  <si>
    <t>TMT CPNS</t>
  </si>
  <si>
    <t>MASA KERJA</t>
  </si>
  <si>
    <t>PENSIUN</t>
  </si>
  <si>
    <t>JFT-NPNS</t>
  </si>
  <si>
    <t>Mia Nurulzanah, A.Md</t>
  </si>
  <si>
    <t>Nurhajati, S.Pd.</t>
  </si>
  <si>
    <t>16 tahun 6 bulan</t>
  </si>
  <si>
    <t>16 tahun</t>
  </si>
  <si>
    <t>14 tahun</t>
  </si>
  <si>
    <t>15 tahun</t>
  </si>
  <si>
    <t>197012102014091002</t>
  </si>
  <si>
    <t>Hery Karya Pamungkas</t>
  </si>
  <si>
    <t>MASA KERJA SK PANGKAT</t>
  </si>
  <si>
    <t>18 tahun 6 bulan</t>
  </si>
  <si>
    <t>19 tahun 2 bulan</t>
  </si>
  <si>
    <t>12 tahun 4 bulan</t>
  </si>
  <si>
    <t>19 tahun 3 bulan</t>
  </si>
  <si>
    <t>15 tahun 3 bulan</t>
  </si>
  <si>
    <t>18 tahun 3 bulan</t>
  </si>
  <si>
    <t>19 tahun 8 bulan</t>
  </si>
  <si>
    <t>31 tahun 7 bulan</t>
  </si>
  <si>
    <t>29 tahun 5 bulan</t>
  </si>
  <si>
    <t>28 tahun 7 bulan</t>
  </si>
  <si>
    <t>17 tahun 3 bulan</t>
  </si>
  <si>
    <t>20 tahun 1 bulan</t>
  </si>
  <si>
    <t>18 tahun 4 bulan</t>
  </si>
  <si>
    <t>23 tahun 4 bulan</t>
  </si>
  <si>
    <t>14 tahun 6 bulan</t>
  </si>
  <si>
    <t>12 tahun 7 bulan</t>
  </si>
  <si>
    <t>6 tahun 10 bulan</t>
  </si>
  <si>
    <t>9 tahun 9 bulan</t>
  </si>
  <si>
    <t>17 tahun 5 bulan</t>
  </si>
  <si>
    <t>11 tahun 9 bulan</t>
  </si>
  <si>
    <t>20 tahun 9 bulan</t>
  </si>
  <si>
    <t>18 tahun 9 bulan</t>
  </si>
  <si>
    <t>19 tahun 9 bulan</t>
  </si>
  <si>
    <t>20 tahun 6 bulan</t>
  </si>
  <si>
    <t>17 tahun 1 bulan</t>
  </si>
  <si>
    <t>18 tahun 0 bulan</t>
  </si>
  <si>
    <t>19 tahun 6 bulan</t>
  </si>
  <si>
    <t>20 tahun 4 bulan</t>
  </si>
  <si>
    <t>20 tahun 5 bulan</t>
  </si>
  <si>
    <t>Arsiparis Ahli Muda</t>
  </si>
  <si>
    <t>TEMPAT TANGGAL LAHIR</t>
  </si>
  <si>
    <t>JENIS KELAMIN</t>
  </si>
  <si>
    <t>Laki-Laki</t>
  </si>
  <si>
    <t>Perempuan</t>
  </si>
  <si>
    <t>200012102024084001</t>
  </si>
  <si>
    <t>199807162024084001</t>
  </si>
  <si>
    <t>200012272024084001</t>
  </si>
  <si>
    <t>200010162024083001</t>
  </si>
  <si>
    <t>199711052024084001</t>
  </si>
  <si>
    <t>199401092024084001</t>
  </si>
  <si>
    <t>199603022024084001</t>
  </si>
  <si>
    <t>093576460423000</t>
  </si>
  <si>
    <t>349332189446000</t>
  </si>
  <si>
    <t>3211151105700019</t>
  </si>
  <si>
    <t>970333753422000</t>
  </si>
  <si>
    <t>3273043006720001</t>
  </si>
  <si>
    <t>586241630446000</t>
  </si>
  <si>
    <t>3211111112720006</t>
  </si>
  <si>
    <t>269697777421000</t>
  </si>
  <si>
    <t>3277010509730023</t>
  </si>
  <si>
    <t>586241622429000</t>
  </si>
  <si>
    <t>3273301212760002</t>
  </si>
  <si>
    <t>349262501446000</t>
  </si>
  <si>
    <t>3204050208790012</t>
  </si>
  <si>
    <t>880437215428000</t>
  </si>
  <si>
    <t>3273072908770004</t>
  </si>
  <si>
    <t>842934770429000</t>
  </si>
  <si>
    <t>3273010208850001</t>
  </si>
  <si>
    <t>358458123446000</t>
  </si>
  <si>
    <t>3211152503790001</t>
  </si>
  <si>
    <t>352333272444000</t>
  </si>
  <si>
    <t>3204280810760003</t>
  </si>
  <si>
    <t>358818656444000</t>
  </si>
  <si>
    <t>3204330101760181</t>
  </si>
  <si>
    <t>349289355446000</t>
  </si>
  <si>
    <t>3211111805690001</t>
  </si>
  <si>
    <t>358589224444000</t>
  </si>
  <si>
    <t>3273053009800002</t>
  </si>
  <si>
    <t>349310946446000</t>
  </si>
  <si>
    <t>3273025001740016</t>
  </si>
  <si>
    <t>580398840422000</t>
  </si>
  <si>
    <t>3273174807730003</t>
  </si>
  <si>
    <t>349345710444000</t>
  </si>
  <si>
    <t>3204281208830001</t>
  </si>
  <si>
    <t>358625705423000</t>
  </si>
  <si>
    <t>3204052912830015</t>
  </si>
  <si>
    <t>349037523428000</t>
  </si>
  <si>
    <t>3273071503800002</t>
  </si>
  <si>
    <t>358863090444000</t>
  </si>
  <si>
    <t>3204081904710002</t>
  </si>
  <si>
    <t>796295970423000</t>
  </si>
  <si>
    <t>3273021208700003</t>
  </si>
  <si>
    <t>818192452444000</t>
  </si>
  <si>
    <t>3204280412690002</t>
  </si>
  <si>
    <t>265181438428000</t>
  </si>
  <si>
    <t>3273071304800001</t>
  </si>
  <si>
    <t>349334649446000</t>
  </si>
  <si>
    <t>3211150801740004</t>
  </si>
  <si>
    <t>347651978444999</t>
  </si>
  <si>
    <t>3204285603780006</t>
  </si>
  <si>
    <t>349372367428000</t>
  </si>
  <si>
    <t>349329912444000</t>
  </si>
  <si>
    <t>3204052909810022</t>
  </si>
  <si>
    <t>349351411428000</t>
  </si>
  <si>
    <t>3273075510730001</t>
  </si>
  <si>
    <t>358372738446000</t>
  </si>
  <si>
    <t>3211111309700008</t>
  </si>
  <si>
    <t>349381152446000</t>
  </si>
  <si>
    <t>586241705445000</t>
  </si>
  <si>
    <t>3204110904760002</t>
  </si>
  <si>
    <t>349348748446000</t>
  </si>
  <si>
    <t>3211110708820008</t>
  </si>
  <si>
    <t>270316946422000</t>
  </si>
  <si>
    <t>3217061810690011</t>
  </si>
  <si>
    <t>269424248421000</t>
  </si>
  <si>
    <t>3277030206680002</t>
  </si>
  <si>
    <t>349147231428000</t>
  </si>
  <si>
    <t>3273073103830003</t>
  </si>
  <si>
    <t>349402685423000</t>
  </si>
  <si>
    <t>3273021812820002</t>
  </si>
  <si>
    <t>358368769424000</t>
  </si>
  <si>
    <t>3273211202710003</t>
  </si>
  <si>
    <t>349334086446000</t>
  </si>
  <si>
    <t>3211116704820004</t>
  </si>
  <si>
    <t>261918098444000</t>
  </si>
  <si>
    <t>3273114304770007</t>
  </si>
  <si>
    <t>358479665423000</t>
  </si>
  <si>
    <t>3273090802820003</t>
  </si>
  <si>
    <t>586241648429000</t>
  </si>
  <si>
    <t>351001482444000</t>
  </si>
  <si>
    <t>3204051409700001</t>
  </si>
  <si>
    <t>349353557423000</t>
  </si>
  <si>
    <t>3273020205700011</t>
  </si>
  <si>
    <t>358449593421000</t>
  </si>
  <si>
    <t>3277031407790026</t>
  </si>
  <si>
    <t>970335170423000</t>
  </si>
  <si>
    <t>3273021405750015</t>
  </si>
  <si>
    <t>874651367428000</t>
  </si>
  <si>
    <t>1050025107833001</t>
  </si>
  <si>
    <t>349250829428000</t>
  </si>
  <si>
    <t>3273015202780002</t>
  </si>
  <si>
    <t>358436723446000</t>
  </si>
  <si>
    <t>3211110208810005</t>
  </si>
  <si>
    <t>349352690428000</t>
  </si>
  <si>
    <t>3273070601720016</t>
  </si>
  <si>
    <t>349515015429000</t>
  </si>
  <si>
    <t>3273256503750002</t>
  </si>
  <si>
    <t>265181883428000</t>
  </si>
  <si>
    <t>344399134429000</t>
  </si>
  <si>
    <t>3273241012700005</t>
  </si>
  <si>
    <t>349258780446000</t>
  </si>
  <si>
    <t>3211111005820007</t>
  </si>
  <si>
    <t>586241556421000</t>
  </si>
  <si>
    <t>3204061112790013</t>
  </si>
  <si>
    <t>358375673446000</t>
  </si>
  <si>
    <t>3211152704840022</t>
  </si>
  <si>
    <t>349342782423000</t>
  </si>
  <si>
    <t>3204052302810001</t>
  </si>
  <si>
    <t>349287920421000</t>
  </si>
  <si>
    <t>3217095302740004</t>
  </si>
  <si>
    <t>3277014504790001</t>
  </si>
  <si>
    <t>570106054421000</t>
  </si>
  <si>
    <t>3204286710750006</t>
  </si>
  <si>
    <t>348879099423000</t>
  </si>
  <si>
    <t>3273025107770013</t>
  </si>
  <si>
    <t>353420441421000</t>
  </si>
  <si>
    <t>3277013103730007</t>
  </si>
  <si>
    <t>266168210445000</t>
  </si>
  <si>
    <t>3204102811840001</t>
  </si>
  <si>
    <t>351530266445000</t>
  </si>
  <si>
    <t>3204122908820005</t>
  </si>
  <si>
    <t>260921119444001</t>
  </si>
  <si>
    <t>3204064205760001</t>
  </si>
  <si>
    <t>349387084446000</t>
  </si>
  <si>
    <t>3211112911750006</t>
  </si>
  <si>
    <t>880437223428000</t>
  </si>
  <si>
    <t>3273050912740004</t>
  </si>
  <si>
    <t>349513556446000</t>
  </si>
  <si>
    <t>3211153009720004</t>
  </si>
  <si>
    <t>349442269428000</t>
  </si>
  <si>
    <t>3273070306710003</t>
  </si>
  <si>
    <t>348000001428000</t>
  </si>
  <si>
    <t>3211112811780008</t>
  </si>
  <si>
    <t>349388181446000</t>
  </si>
  <si>
    <t>3174012712780004</t>
  </si>
  <si>
    <t>349288548446000</t>
  </si>
  <si>
    <t>3211156301710004</t>
  </si>
  <si>
    <t>785569104445000</t>
  </si>
  <si>
    <t>497681197423000</t>
  </si>
  <si>
    <t>3211117001720001</t>
  </si>
  <si>
    <t>349333245446000</t>
  </si>
  <si>
    <t>3211122712690005</t>
  </si>
  <si>
    <t>358842599446000</t>
  </si>
  <si>
    <t>3211152408790006</t>
  </si>
  <si>
    <t>586241697446000</t>
  </si>
  <si>
    <t>3211231407710002</t>
  </si>
  <si>
    <t>358413458428000</t>
  </si>
  <si>
    <t>349515056421000</t>
  </si>
  <si>
    <t>3217081808700015</t>
  </si>
  <si>
    <t>597417914446000</t>
  </si>
  <si>
    <t>3204255805790004</t>
  </si>
  <si>
    <t>883928129444000</t>
  </si>
  <si>
    <t>3204086208760004</t>
  </si>
  <si>
    <t>358624591421999</t>
  </si>
  <si>
    <t>3277015911770011</t>
  </si>
  <si>
    <t>349315002429000</t>
  </si>
  <si>
    <t>3273206311760002</t>
  </si>
  <si>
    <t>349274944446000</t>
  </si>
  <si>
    <t>3211150803790010</t>
  </si>
  <si>
    <t>349262428428000</t>
  </si>
  <si>
    <t>3273074610750002</t>
  </si>
  <si>
    <t>252456223424000</t>
  </si>
  <si>
    <t>3273165209830004</t>
  </si>
  <si>
    <t>796703734423000</t>
  </si>
  <si>
    <t>3273024710700009</t>
  </si>
  <si>
    <t>894695295423000</t>
  </si>
  <si>
    <t>3273144601840001</t>
  </si>
  <si>
    <t>252235015421000</t>
  </si>
  <si>
    <t>3273070801800002</t>
  </si>
  <si>
    <t>349476168422000</t>
  </si>
  <si>
    <t>3273152401790003</t>
  </si>
  <si>
    <t>970335469445000</t>
  </si>
  <si>
    <t>3204111107820005</t>
  </si>
  <si>
    <t>358282374423000</t>
  </si>
  <si>
    <t>358447563422000</t>
  </si>
  <si>
    <t>3273030901690003</t>
  </si>
  <si>
    <t>802157321423000</t>
  </si>
  <si>
    <t>3273022604750001</t>
  </si>
  <si>
    <t>269697983421000</t>
  </si>
  <si>
    <t>3277015410760019</t>
  </si>
  <si>
    <t>349036384445000</t>
  </si>
  <si>
    <t>3204122505820010</t>
  </si>
  <si>
    <t>694490277423000</t>
  </si>
  <si>
    <t>3273020103740002</t>
  </si>
  <si>
    <t>349250779424000</t>
  </si>
  <si>
    <t>3273115707760003</t>
  </si>
  <si>
    <t>266417567445000</t>
  </si>
  <si>
    <t>3204111412760001</t>
  </si>
  <si>
    <t>349327130446000</t>
  </si>
  <si>
    <t>349382820442000</t>
  </si>
  <si>
    <t>3207041601770001</t>
  </si>
  <si>
    <t>349335406446000</t>
  </si>
  <si>
    <t>3211151311700009</t>
  </si>
  <si>
    <t>257708198421000</t>
  </si>
  <si>
    <t>3273010512750002</t>
  </si>
  <si>
    <t>358512135423000</t>
  </si>
  <si>
    <t>3273090309800004</t>
  </si>
  <si>
    <t>349384164424000</t>
  </si>
  <si>
    <t>3273120701820002</t>
  </si>
  <si>
    <t>358561546429000</t>
  </si>
  <si>
    <t>3273203108830001</t>
  </si>
  <si>
    <t>362580102421000</t>
  </si>
  <si>
    <t>3204085406880009</t>
  </si>
  <si>
    <t>358508315423000</t>
  </si>
  <si>
    <t>358842805446000</t>
  </si>
  <si>
    <t>3211130910810002</t>
  </si>
  <si>
    <t>349261602446000</t>
  </si>
  <si>
    <t>3211151707800020</t>
  </si>
  <si>
    <t>348948514423000</t>
  </si>
  <si>
    <t>3273142105780002</t>
  </si>
  <si>
    <t>349342634423000</t>
  </si>
  <si>
    <t>3273025101760002</t>
  </si>
  <si>
    <t>970333746428000</t>
  </si>
  <si>
    <t>3273076712750005</t>
  </si>
  <si>
    <t>349068718445000</t>
  </si>
  <si>
    <t>3204115103810006</t>
  </si>
  <si>
    <t>471276006438000</t>
  </si>
  <si>
    <t>3210226208810001</t>
  </si>
  <si>
    <t>358842334446000</t>
  </si>
  <si>
    <t>3211150407790015</t>
  </si>
  <si>
    <t>350489373446000</t>
  </si>
  <si>
    <t>3211151611750006</t>
  </si>
  <si>
    <t>348952938446000</t>
  </si>
  <si>
    <t>3273306009810004</t>
  </si>
  <si>
    <t>842876245445000</t>
  </si>
  <si>
    <t>3273110508720013</t>
  </si>
  <si>
    <t>349261057446000</t>
  </si>
  <si>
    <t>3211154104790013</t>
  </si>
  <si>
    <t>745304014428000</t>
  </si>
  <si>
    <t>3273076009790001</t>
  </si>
  <si>
    <t>586241580428000</t>
  </si>
  <si>
    <t>3273012703780004</t>
  </si>
  <si>
    <t>349407734428000</t>
  </si>
  <si>
    <t>581507449424000</t>
  </si>
  <si>
    <t>3273111903730003</t>
  </si>
  <si>
    <t>461600082429000</t>
  </si>
  <si>
    <t>3273261809850001</t>
  </si>
  <si>
    <t>358358349446000</t>
  </si>
  <si>
    <t>3211112703840006</t>
  </si>
  <si>
    <t>770124121446000</t>
  </si>
  <si>
    <t>358472132421000</t>
  </si>
  <si>
    <t>701397507425000</t>
  </si>
  <si>
    <t>3206362605770001</t>
  </si>
  <si>
    <t>358325538429000</t>
  </si>
  <si>
    <t>3273222008770003</t>
  </si>
  <si>
    <t>358403038421000</t>
  </si>
  <si>
    <t>3277026908770012</t>
  </si>
  <si>
    <t>454318403421000</t>
  </si>
  <si>
    <t>3277014808870029</t>
  </si>
  <si>
    <t>665576559423000</t>
  </si>
  <si>
    <t>3273022402760012</t>
  </si>
  <si>
    <t>699911228421000</t>
  </si>
  <si>
    <t>3277011908800021</t>
  </si>
  <si>
    <t>358842086446000</t>
  </si>
  <si>
    <t>3211110203820011</t>
  </si>
  <si>
    <t>358716843444000</t>
  </si>
  <si>
    <t>3204062010770001</t>
  </si>
  <si>
    <t>970335535421000</t>
  </si>
  <si>
    <t>3213290102790011</t>
  </si>
  <si>
    <t>970335451421000</t>
  </si>
  <si>
    <t>3211141408730011</t>
  </si>
  <si>
    <t>774540645429000</t>
  </si>
  <si>
    <t>3273296304900001</t>
  </si>
  <si>
    <t>640482725421000</t>
  </si>
  <si>
    <t>3277031212760028</t>
  </si>
  <si>
    <t>452041536444000</t>
  </si>
  <si>
    <t>3204305202860016</t>
  </si>
  <si>
    <t>358467322446000</t>
  </si>
  <si>
    <t>3211150406790012</t>
  </si>
  <si>
    <t>681687828429000</t>
  </si>
  <si>
    <t>3273225503870003</t>
  </si>
  <si>
    <t>591620711422000</t>
  </si>
  <si>
    <t>3273230707790010</t>
  </si>
  <si>
    <t>581504586424000</t>
  </si>
  <si>
    <t>3273130601820002</t>
  </si>
  <si>
    <t>742475221436000</t>
  </si>
  <si>
    <t>3201074705930007</t>
  </si>
  <si>
    <t>667541932446000</t>
  </si>
  <si>
    <t>788797223444000</t>
  </si>
  <si>
    <t>3204050506870021</t>
  </si>
  <si>
    <t>358390672423000</t>
  </si>
  <si>
    <t>3273140604820002</t>
  </si>
  <si>
    <t>547405712428000</t>
  </si>
  <si>
    <t>3273071311840001</t>
  </si>
  <si>
    <t>358479731428000</t>
  </si>
  <si>
    <t>3273065611780003</t>
  </si>
  <si>
    <t>358441632423000</t>
  </si>
  <si>
    <t>359750585446000</t>
  </si>
  <si>
    <t>3211151305830021</t>
  </si>
  <si>
    <t>667543383446000</t>
  </si>
  <si>
    <t>3211116104910006</t>
  </si>
  <si>
    <t>547237826423000</t>
  </si>
  <si>
    <t>3273024811840010</t>
  </si>
  <si>
    <t>093582815423000</t>
  </si>
  <si>
    <t>3273025309840018</t>
  </si>
  <si>
    <t>666623103446000</t>
  </si>
  <si>
    <t>3207152508870001</t>
  </si>
  <si>
    <t>452005226429999</t>
  </si>
  <si>
    <t>3273204811820002</t>
  </si>
  <si>
    <t>358510592446000</t>
  </si>
  <si>
    <t>3211110202830006</t>
  </si>
  <si>
    <t>970334082421000</t>
  </si>
  <si>
    <t>3217011410750014</t>
  </si>
  <si>
    <t>3273082805780003</t>
  </si>
  <si>
    <t>358762714446000</t>
  </si>
  <si>
    <t>3211154411840011</t>
  </si>
  <si>
    <t>358558674429000</t>
  </si>
  <si>
    <t>3273204904830001</t>
  </si>
  <si>
    <t>787350685428000</t>
  </si>
  <si>
    <t>3273054709840017</t>
  </si>
  <si>
    <t>740386065421000</t>
  </si>
  <si>
    <t>3277015412930001</t>
  </si>
  <si>
    <t>440132322432000</t>
  </si>
  <si>
    <t>264172594412000</t>
  </si>
  <si>
    <t>3276045201800003</t>
  </si>
  <si>
    <t>263110199422000</t>
  </si>
  <si>
    <t>709905863424000</t>
  </si>
  <si>
    <t>3273133103890002</t>
  </si>
  <si>
    <t>544607971443000</t>
  </si>
  <si>
    <t>3205132801890001</t>
  </si>
  <si>
    <t>451319545422000</t>
  </si>
  <si>
    <t>3273150905890001</t>
  </si>
  <si>
    <t>358392199428000</t>
  </si>
  <si>
    <t>3273072205840001</t>
  </si>
  <si>
    <t>970335444424000</t>
  </si>
  <si>
    <t>442162855406000</t>
  </si>
  <si>
    <t>3203092211860001</t>
  </si>
  <si>
    <t>358909877421000</t>
  </si>
  <si>
    <t>3277034611780002</t>
  </si>
  <si>
    <t>465481158423000</t>
  </si>
  <si>
    <t>3273185805870002</t>
  </si>
  <si>
    <t>358388114446000</t>
  </si>
  <si>
    <t>3211150502820010</t>
  </si>
  <si>
    <t>663783850446000</t>
  </si>
  <si>
    <t>3211111505800013</t>
  </si>
  <si>
    <t>970335477409000</t>
  </si>
  <si>
    <t>3273202106820002</t>
  </si>
  <si>
    <t>359072576444000</t>
  </si>
  <si>
    <t>3204285612770006</t>
  </si>
  <si>
    <t>970336269446000</t>
  </si>
  <si>
    <t>3211151307790009</t>
  </si>
  <si>
    <t>722654878521000</t>
  </si>
  <si>
    <t>3302144601840002</t>
  </si>
  <si>
    <t>725716187446000</t>
  </si>
  <si>
    <t>3211156012930003</t>
  </si>
  <si>
    <t>452097611422000</t>
  </si>
  <si>
    <t>3273153107890001</t>
  </si>
  <si>
    <t>01 Agustus 2024</t>
  </si>
  <si>
    <t>3204285012000009</t>
  </si>
  <si>
    <t>Wonodadi</t>
  </si>
  <si>
    <t>1810016812000005</t>
  </si>
  <si>
    <t>Magelang</t>
  </si>
  <si>
    <t>3308091610000003</t>
  </si>
  <si>
    <t>3204274511970020</t>
  </si>
  <si>
    <t>3204084901940001</t>
  </si>
  <si>
    <t>3204284203960008</t>
  </si>
  <si>
    <t>NPWP</t>
  </si>
  <si>
    <t>NIK</t>
  </si>
  <si>
    <t xml:space="preserve">Delisma Ayuni, A.Md. </t>
  </si>
  <si>
    <t xml:space="preserve">Syifa Safira, A.Md. </t>
  </si>
  <si>
    <t xml:space="preserve">Ayu Prasasti Cahya Fitria, A.Md. </t>
  </si>
  <si>
    <t xml:space="preserve">Bima Ali Akbar, A.Md. </t>
  </si>
  <si>
    <t xml:space="preserve">Eva Puspita, A.Md. </t>
  </si>
  <si>
    <t xml:space="preserve">Janisa Andiani, A.Md. </t>
  </si>
  <si>
    <t xml:space="preserve">R. Khaerunisa Rahman, A.Md. </t>
  </si>
  <si>
    <t>15 tahun 2 bulan</t>
  </si>
  <si>
    <t>12 tahun 0 bulan</t>
  </si>
  <si>
    <t xml:space="preserve">Nurul Qomarilla, S.KM., M.Si. </t>
  </si>
  <si>
    <t>27 tahun 2 bulan</t>
  </si>
  <si>
    <t>21 tahun 3 bulan</t>
  </si>
  <si>
    <t>23 tahun 10 bulan</t>
  </si>
  <si>
    <t>15 tahun 6 bulan</t>
  </si>
  <si>
    <t>19 tahun 0 bulan</t>
  </si>
  <si>
    <t>15 tahun 0 bulan</t>
  </si>
  <si>
    <t>5 tahun 10 bulan</t>
  </si>
  <si>
    <t>12 tahun 2 bulan</t>
  </si>
  <si>
    <t>12 tahun 5 bulan</t>
  </si>
  <si>
    <t>8 tahun 10 bulan</t>
  </si>
  <si>
    <t>12 tahun 3 bulan</t>
  </si>
  <si>
    <t>13 tahun 3 bulan</t>
  </si>
  <si>
    <t>15 tahun 1 bulan</t>
  </si>
  <si>
    <t>3211152302780004</t>
  </si>
  <si>
    <t>3273072209730001</t>
  </si>
  <si>
    <t>3273077107830001</t>
  </si>
  <si>
    <t>3273145204750002</t>
  </si>
  <si>
    <t>3273045810860001</t>
  </si>
  <si>
    <t>3273012806680005</t>
  </si>
  <si>
    <t xml:space="preserve">3217092305680003 </t>
  </si>
  <si>
    <t>3273230401750002</t>
  </si>
  <si>
    <t xml:space="preserve">3273071402710005 </t>
  </si>
  <si>
    <t>3273180110680007</t>
  </si>
  <si>
    <t>3204171506700014</t>
  </si>
  <si>
    <t>3273024902830004</t>
  </si>
  <si>
    <t>3273121608780002</t>
  </si>
  <si>
    <t>3273025207780001</t>
  </si>
  <si>
    <t>3204095607980013</t>
  </si>
  <si>
    <t>3217061907750011</t>
  </si>
  <si>
    <t>3211151508890012</t>
  </si>
  <si>
    <t>3275055304930021</t>
  </si>
  <si>
    <t>10 tahun 9 bulan</t>
  </si>
  <si>
    <t>21 tahun 6 bulan</t>
  </si>
  <si>
    <t>6 tahun 4 bulan</t>
  </si>
  <si>
    <t>22 tahun 2 bulan</t>
  </si>
  <si>
    <t>19 tahun 7 bulan</t>
  </si>
  <si>
    <t>17 tahun 7 bulan</t>
  </si>
  <si>
    <t>18 tahun 8 bulan</t>
  </si>
  <si>
    <t>16 tahun 9 bulan</t>
  </si>
  <si>
    <t>21 tahun 5 bulan</t>
  </si>
  <si>
    <t>20 tahun 8 bulan</t>
  </si>
  <si>
    <t>Koordinator Tata Kelola dan Informasi</t>
  </si>
  <si>
    <t>Koordinator SDM, Tata Kelola dan Record Centre</t>
  </si>
  <si>
    <t>Arsiparis Terampil</t>
  </si>
  <si>
    <t>Pranata Laboratorium Pendidikan Terampil</t>
  </si>
  <si>
    <t>Pranata Laboratorium Pendidikan Ahli Pertama</t>
  </si>
  <si>
    <t>Pranata Laboratorium Pendidikan Ahli Muda</t>
  </si>
  <si>
    <t>Pranata Laboratorium Pendidikan Mahir</t>
  </si>
  <si>
    <t>Arsiparis Ahli Pertama</t>
  </si>
  <si>
    <t>Pengadministrasi Kesejretariatan</t>
  </si>
  <si>
    <t>Arsiparis Mahir</t>
  </si>
  <si>
    <t>Koordinator Riset dan Kerjasama</t>
  </si>
  <si>
    <t>Analis Kerja Sama</t>
  </si>
  <si>
    <t>Pengadministrasi</t>
  </si>
  <si>
    <t>Pengolah Data dan Informasi</t>
  </si>
  <si>
    <t>Koordinator Perencanaan dan Keuangan</t>
  </si>
  <si>
    <t>Pengelola Data Akademik</t>
  </si>
  <si>
    <t>Pengelola Daftar Gaji</t>
  </si>
  <si>
    <t>Sekretaris Program Studi Sarjana Kedokteran Hewan</t>
  </si>
  <si>
    <t>Manajer Sumber Daya, Perencanaan, dan Informasi</t>
  </si>
  <si>
    <t>Pengolah Data Pusat Studi</t>
  </si>
  <si>
    <t>Koordinator Bidang Akademik dan Kemahasiswaan</t>
  </si>
  <si>
    <t>18 tahun 10 bulan</t>
  </si>
  <si>
    <t>Pustakawan Ahli Muda</t>
  </si>
  <si>
    <t>25 tahun 5 bulan</t>
  </si>
  <si>
    <t>198509222014092001</t>
  </si>
  <si>
    <t>Sekretaris Program Studi Sarjana Kedokteran</t>
  </si>
  <si>
    <t>12 tahun 9 bulan</t>
  </si>
  <si>
    <t>3273126209850006</t>
  </si>
  <si>
    <t>341904639424000</t>
  </si>
  <si>
    <t>Teguh Sandjaya, M.E.Sy</t>
  </si>
  <si>
    <t>198411162016023001</t>
  </si>
  <si>
    <t>Sekretaris Program Studi Profesi Profesi Dokter</t>
  </si>
  <si>
    <t>446578775423000</t>
  </si>
  <si>
    <t>3273141605840001</t>
  </si>
  <si>
    <t>4 tahun 0 bulan</t>
  </si>
  <si>
    <t>198105112009121002</t>
  </si>
  <si>
    <t>Raden Dani Firmansyah Wiradimadja, S.Sos., M.A.B.</t>
  </si>
  <si>
    <t>Sekretaris Program Studi Doktor Ilmu Kedokteran</t>
  </si>
  <si>
    <t>3273141105810002</t>
  </si>
  <si>
    <t>Rheny, S.Sos., M.I.Kom.</t>
  </si>
  <si>
    <t>26 tahun 0 bulan</t>
  </si>
  <si>
    <t>5 tahun 7 bulan</t>
  </si>
  <si>
    <t>8 tahun 3 bulan</t>
  </si>
  <si>
    <t>6 tahun 3 bulan</t>
  </si>
  <si>
    <t>11 tahun 0 bulan</t>
  </si>
  <si>
    <t>6 tahun 2 bulan</t>
  </si>
  <si>
    <t>9 tahun 7 bulan</t>
  </si>
  <si>
    <t>22 tahun 1 bulan</t>
  </si>
  <si>
    <t>26 tahun 7 bulan</t>
  </si>
  <si>
    <t>21 tahun 10 bulan</t>
  </si>
  <si>
    <t>23 tahun 9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</si>
</sst>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21]dd\ mmmm\ yyyy;@"/>
    <numFmt numFmtId="165" formatCode="[$-F800]dddd\,\ mmmm\ dd\,\ yyyy"/>
  </numFmts>
  <fonts count="2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14"/>
      <color indexed="8"/>
      <name val="CG Omega"/>
      <family val="2"/>
    </font>
    <font>
      <sz val="10"/>
      <color indexed="8"/>
      <name val="CG Omega"/>
      <family val="2"/>
    </font>
    <font>
      <sz val="14"/>
      <color indexed="8"/>
      <name val="CG Omega"/>
      <family val="2"/>
    </font>
    <font>
      <sz val="10"/>
      <name val="Arial"/>
      <family val="2"/>
    </font>
    <font>
      <b/>
      <sz val="14"/>
      <name val="CG Omeg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23" fillId="0" borderId="0"/>
    <xf numFmtId="0" fontId="1" fillId="0" borderId="0"/>
  </cellStyleXfs>
  <cellXfs count="54">
    <xf numFmtId="0" fontId="0" fillId="0" borderId="0" xfId="0"/>
    <xf numFmtId="0" fontId="18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 wrapText="1"/>
    </xf>
    <xf numFmtId="49" fontId="18" fillId="0" borderId="10" xfId="0" applyNumberFormat="1" applyFont="1" applyFill="1" applyBorder="1" applyAlignment="1">
      <alignment horizontal="center" vertical="center"/>
    </xf>
    <xf numFmtId="0" fontId="21" fillId="0" borderId="0" xfId="42" applyFont="1" applyBorder="1" applyAlignment="1"/>
    <xf numFmtId="0" fontId="20" fillId="34" borderId="0" xfId="42" applyFont="1" applyFill="1" applyBorder="1" applyAlignment="1">
      <alignment horizontal="center"/>
    </xf>
    <xf numFmtId="0" fontId="22" fillId="0" borderId="0" xfId="42" applyFont="1" applyBorder="1" applyAlignment="1"/>
    <xf numFmtId="0" fontId="24" fillId="0" borderId="0" xfId="43" applyFont="1" applyFill="1" applyBorder="1" applyAlignment="1">
      <alignment horizontal="center"/>
    </xf>
    <xf numFmtId="0" fontId="24" fillId="0" borderId="0" xfId="43" applyFont="1" applyFill="1" applyBorder="1" applyAlignment="1">
      <alignment horizontal="left"/>
    </xf>
    <xf numFmtId="0" fontId="24" fillId="35" borderId="0" xfId="43" applyFont="1" applyFill="1" applyBorder="1" applyAlignment="1">
      <alignment horizontal="center"/>
    </xf>
    <xf numFmtId="0" fontId="24" fillId="35" borderId="0" xfId="43" applyFont="1" applyFill="1" applyBorder="1" applyAlignment="1">
      <alignment horizontal="left"/>
    </xf>
    <xf numFmtId="0" fontId="24" fillId="36" borderId="0" xfId="43" applyFont="1" applyFill="1" applyBorder="1" applyAlignment="1">
      <alignment horizontal="center"/>
    </xf>
    <xf numFmtId="0" fontId="24" fillId="36" borderId="0" xfId="43" applyFont="1" applyFill="1" applyBorder="1" applyAlignment="1">
      <alignment horizontal="left"/>
    </xf>
    <xf numFmtId="0" fontId="24" fillId="37" borderId="0" xfId="43" applyFont="1" applyFill="1" applyBorder="1" applyAlignment="1">
      <alignment horizontal="center"/>
    </xf>
    <xf numFmtId="0" fontId="24" fillId="37" borderId="0" xfId="43" applyFont="1" applyFill="1" applyBorder="1" applyAlignment="1">
      <alignment horizontal="left"/>
    </xf>
    <xf numFmtId="0" fontId="24" fillId="38" borderId="0" xfId="43" applyFont="1" applyFill="1" applyBorder="1" applyAlignment="1">
      <alignment horizontal="center"/>
    </xf>
    <xf numFmtId="0" fontId="24" fillId="38" borderId="0" xfId="43" applyFont="1" applyFill="1" applyBorder="1" applyAlignment="1">
      <alignment horizontal="left"/>
    </xf>
    <xf numFmtId="164" fontId="18" fillId="0" borderId="10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Border="1" applyAlignment="1">
      <alignment horizontal="left" vertical="center"/>
    </xf>
    <xf numFmtId="0" fontId="25" fillId="0" borderId="0" xfId="0" applyFont="1" applyFill="1" applyBorder="1" applyAlignment="1">
      <alignment vertical="center"/>
    </xf>
    <xf numFmtId="164" fontId="25" fillId="0" borderId="0" xfId="0" applyNumberFormat="1" applyFont="1" applyFill="1" applyBorder="1" applyAlignment="1">
      <alignment horizontal="left" vertical="center"/>
    </xf>
    <xf numFmtId="164" fontId="25" fillId="0" borderId="0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vertical="center"/>
    </xf>
    <xf numFmtId="0" fontId="25" fillId="0" borderId="10" xfId="0" applyFont="1" applyFill="1" applyBorder="1" applyAlignment="1">
      <alignment horizontal="center" vertical="center"/>
    </xf>
    <xf numFmtId="49" fontId="25" fillId="0" borderId="10" xfId="0" applyNumberFormat="1" applyFont="1" applyFill="1" applyBorder="1" applyAlignment="1">
      <alignment horizontal="left" vertical="center"/>
    </xf>
    <xf numFmtId="0" fontId="25" fillId="0" borderId="10" xfId="0" applyFont="1" applyFill="1" applyBorder="1" applyAlignment="1">
      <alignment vertical="center"/>
    </xf>
    <xf numFmtId="0" fontId="25" fillId="0" borderId="10" xfId="0" applyFont="1" applyFill="1" applyBorder="1" applyAlignment="1">
      <alignment vertical="center" shrinkToFit="1"/>
    </xf>
    <xf numFmtId="164" fontId="25" fillId="0" borderId="10" xfId="0" applyNumberFormat="1" applyFont="1" applyFill="1" applyBorder="1" applyAlignment="1">
      <alignment horizontal="left" vertical="center"/>
    </xf>
    <xf numFmtId="164" fontId="25" fillId="39" borderId="10" xfId="0" applyNumberFormat="1" applyFont="1" applyFill="1" applyBorder="1" applyAlignment="1">
      <alignment horizontal="left"/>
    </xf>
    <xf numFmtId="0" fontId="25" fillId="0" borderId="10" xfId="0" applyFont="1" applyBorder="1"/>
    <xf numFmtId="0" fontId="25" fillId="33" borderId="10" xfId="0" applyFont="1" applyFill="1" applyBorder="1"/>
    <xf numFmtId="164" fontId="25" fillId="0" borderId="10" xfId="0" applyNumberFormat="1" applyFont="1" applyBorder="1" applyAlignment="1">
      <alignment horizontal="left"/>
    </xf>
    <xf numFmtId="0" fontId="27" fillId="33" borderId="10" xfId="0" applyNumberFormat="1" applyFont="1" applyFill="1" applyBorder="1" applyAlignment="1">
      <alignment vertical="center"/>
    </xf>
    <xf numFmtId="0" fontId="28" fillId="33" borderId="10" xfId="0" applyFont="1" applyFill="1" applyBorder="1" applyAlignment="1">
      <alignment horizontal="center" vertical="center" wrapText="1"/>
    </xf>
    <xf numFmtId="164" fontId="28" fillId="33" borderId="10" xfId="0" applyNumberFormat="1" applyFont="1" applyFill="1" applyBorder="1" applyAlignment="1">
      <alignment horizontal="left" vertical="center"/>
    </xf>
    <xf numFmtId="0" fontId="25" fillId="33" borderId="0" xfId="0" applyFont="1" applyFill="1" applyBorder="1" applyAlignment="1">
      <alignment vertical="center"/>
    </xf>
    <xf numFmtId="0" fontId="26" fillId="0" borderId="0" xfId="0" applyFont="1" applyFill="1" applyBorder="1" applyAlignment="1">
      <alignment horizontal="left" vertical="center"/>
    </xf>
    <xf numFmtId="164" fontId="25" fillId="0" borderId="10" xfId="0" applyNumberFormat="1" applyFont="1" applyFill="1" applyBorder="1" applyAlignment="1">
      <alignment horizontal="left" vertical="center" shrinkToFit="1"/>
    </xf>
    <xf numFmtId="0" fontId="25" fillId="0" borderId="0" xfId="0" applyFont="1" applyFill="1" applyBorder="1" applyAlignment="1">
      <alignment vertical="center" shrinkToFit="1"/>
    </xf>
    <xf numFmtId="0" fontId="18" fillId="0" borderId="10" xfId="0" applyFont="1" applyFill="1" applyBorder="1" applyAlignment="1">
      <alignment horizontal="center" vertical="center" shrinkToFit="1"/>
    </xf>
    <xf numFmtId="0" fontId="25" fillId="0" borderId="10" xfId="0" quotePrefix="1" applyFont="1" applyFill="1" applyBorder="1" applyAlignment="1">
      <alignment vertical="center"/>
    </xf>
    <xf numFmtId="49" fontId="25" fillId="0" borderId="10" xfId="0" quotePrefix="1" applyNumberFormat="1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 wrapText="1"/>
    </xf>
    <xf numFmtId="164" fontId="18" fillId="39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165" fontId="19" fillId="0" borderId="0" xfId="0" quotePrefix="1" applyNumberFormat="1" applyFont="1" applyFill="1" applyBorder="1" applyAlignment="1">
      <alignment horizontal="left" vertical="center"/>
    </xf>
    <xf numFmtId="0" fontId="20" fillId="34" borderId="0" xfId="42" applyFont="1" applyFill="1" applyBorder="1" applyAlignment="1">
      <alignment horizontal="center"/>
    </xf>
    <xf numFmtId="0" fontId="24" fillId="35" borderId="0" xfId="43" applyFont="1" applyFill="1" applyBorder="1" applyAlignment="1">
      <alignment horizontal="center" vertical="center"/>
    </xf>
    <xf numFmtId="0" fontId="24" fillId="36" borderId="0" xfId="43" applyFont="1" applyFill="1" applyBorder="1" applyAlignment="1">
      <alignment horizontal="center" vertical="center"/>
    </xf>
    <xf numFmtId="0" fontId="24" fillId="37" borderId="0" xfId="43" applyFont="1" applyFill="1" applyBorder="1" applyAlignment="1">
      <alignment horizontal="center" vertical="center"/>
    </xf>
    <xf numFmtId="0" fontId="24" fillId="38" borderId="0" xfId="43" applyFont="1" applyFill="1" applyBorder="1" applyAlignment="1">
      <alignment horizontal="center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3"/>
    <cellStyle name="Normal 3" xfId="44"/>
    <cellStyle name="Normal 5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48270"/>
  <sheetViews>
    <sheetView tabSelected="1" zoomScale="70" zoomScaleNormal="70" workbookViewId="0">
      <pane ySplit="3" topLeftCell="A4" activePane="bottomLeft" state="frozen"/>
      <selection pane="bottomLeft" activeCell="AE23" sqref="AE23"/>
    </sheetView>
  </sheetViews>
  <sheetFormatPr defaultColWidth="8.77734375" defaultRowHeight="14.4"/>
  <cols>
    <col min="1" max="1" width="4.77734375" style="22" customWidth="1"/>
    <col min="2" max="2" width="21.33203125" style="21" bestFit="1" customWidth="1"/>
    <col min="3" max="3" width="34.77734375" style="22" customWidth="1"/>
    <col min="4" max="4" width="9.6640625" style="22" customWidth="1"/>
    <col min="5" max="5" width="31.109375" style="41" customWidth="1"/>
    <col min="6" max="6" width="10.88671875" style="22" customWidth="1"/>
    <col min="7" max="7" width="17.21875" style="23" customWidth="1"/>
    <col min="8" max="8" width="21.33203125" style="22" customWidth="1"/>
    <col min="9" max="9" width="6.21875" style="22" customWidth="1"/>
    <col min="10" max="10" width="18.33203125" style="22" customWidth="1"/>
    <col min="11" max="11" width="15.5546875" style="23" customWidth="1"/>
    <col min="12" max="12" width="15.77734375" style="22" customWidth="1"/>
    <col min="13" max="13" width="10.77734375" style="22" customWidth="1"/>
    <col min="14" max="14" width="16.77734375" style="22" customWidth="1"/>
    <col min="15" max="15" width="21.5546875" style="22" bestFit="1" customWidth="1"/>
    <col min="16" max="16" width="19.21875" style="22" customWidth="1"/>
    <col min="17" max="17" width="17.88671875" style="22" bestFit="1" customWidth="1"/>
    <col min="18" max="18" width="8.21875" style="38" bestFit="1" customWidth="1"/>
    <col min="19" max="19" width="8.109375" style="38" bestFit="1" customWidth="1"/>
    <col min="20" max="20" width="6.77734375" style="38" bestFit="1" customWidth="1"/>
    <col min="21" max="21" width="17.77734375" style="38" bestFit="1" customWidth="1"/>
    <col min="22" max="22" width="18.77734375" style="38" customWidth="1"/>
    <col min="23" max="16384" width="8.77734375" style="22"/>
  </cols>
  <sheetData>
    <row r="1" spans="1:22">
      <c r="A1" s="1" t="s">
        <v>175</v>
      </c>
      <c r="L1" s="24"/>
      <c r="R1" s="22"/>
      <c r="S1" s="22"/>
      <c r="T1" s="22"/>
      <c r="U1" s="22"/>
      <c r="V1" s="22"/>
    </row>
    <row r="2" spans="1:22" s="25" customFormat="1">
      <c r="A2" s="48">
        <f ca="1">TODAY()</f>
        <v>46232</v>
      </c>
      <c r="B2" s="48"/>
      <c r="C2" s="25">
        <v>2</v>
      </c>
      <c r="D2" s="25">
        <v>3</v>
      </c>
      <c r="E2" s="25">
        <v>7</v>
      </c>
      <c r="F2" s="25">
        <v>8</v>
      </c>
      <c r="G2" s="39">
        <v>9</v>
      </c>
      <c r="H2" s="25">
        <v>10</v>
      </c>
      <c r="I2" s="25">
        <v>11</v>
      </c>
      <c r="J2" s="25">
        <v>12</v>
      </c>
      <c r="K2" s="25">
        <v>13</v>
      </c>
      <c r="L2" s="25">
        <v>14</v>
      </c>
      <c r="M2" s="25">
        <v>24</v>
      </c>
      <c r="N2" s="25">
        <v>25</v>
      </c>
      <c r="O2" s="25">
        <v>26</v>
      </c>
      <c r="P2" s="25">
        <v>27</v>
      </c>
      <c r="Q2" s="25">
        <v>28</v>
      </c>
      <c r="R2" s="25">
        <v>29</v>
      </c>
      <c r="S2" s="25">
        <v>30</v>
      </c>
      <c r="T2" s="25">
        <v>31</v>
      </c>
      <c r="U2" s="25">
        <v>32</v>
      </c>
      <c r="V2" s="25">
        <v>33</v>
      </c>
    </row>
    <row r="3" spans="1:22" s="2" customFormat="1" ht="48.75" customHeight="1">
      <c r="A3" s="4" t="s">
        <v>176</v>
      </c>
      <c r="B3" s="6" t="s">
        <v>172</v>
      </c>
      <c r="C3" s="4" t="s">
        <v>173</v>
      </c>
      <c r="D3" s="4" t="s">
        <v>177</v>
      </c>
      <c r="E3" s="42" t="s">
        <v>178</v>
      </c>
      <c r="F3" s="5" t="s">
        <v>179</v>
      </c>
      <c r="G3" s="20" t="s">
        <v>482</v>
      </c>
      <c r="H3" s="5" t="s">
        <v>379</v>
      </c>
      <c r="I3" s="5" t="s">
        <v>380</v>
      </c>
      <c r="J3" s="5" t="s">
        <v>381</v>
      </c>
      <c r="K3" s="46" t="s">
        <v>494</v>
      </c>
      <c r="L3" s="5" t="s">
        <v>382</v>
      </c>
      <c r="M3" s="5" t="s">
        <v>526</v>
      </c>
      <c r="N3" s="5" t="s">
        <v>525</v>
      </c>
      <c r="O3" s="5" t="s">
        <v>180</v>
      </c>
      <c r="P3" s="5" t="s">
        <v>892</v>
      </c>
      <c r="Q3" s="5" t="s">
        <v>891</v>
      </c>
      <c r="R3" s="47" t="s">
        <v>181</v>
      </c>
      <c r="S3" s="47"/>
      <c r="T3" s="47"/>
      <c r="U3" s="45" t="s">
        <v>483</v>
      </c>
      <c r="V3" s="45" t="s">
        <v>484</v>
      </c>
    </row>
    <row r="4" spans="1:22" s="38" customFormat="1" ht="14.55" customHeight="1">
      <c r="A4" s="26">
        <v>1</v>
      </c>
      <c r="B4" s="27" t="s">
        <v>228</v>
      </c>
      <c r="C4" s="29" t="s">
        <v>229</v>
      </c>
      <c r="D4" s="28" t="s">
        <v>186</v>
      </c>
      <c r="E4" s="29" t="s">
        <v>401</v>
      </c>
      <c r="F4" s="29" t="s">
        <v>187</v>
      </c>
      <c r="G4" s="40">
        <v>42401</v>
      </c>
      <c r="H4" s="29" t="str">
        <f>VLOOKUP(I4,Sheet1!$A$4:$B$20,2,0)</f>
        <v>Pengatur Tk. I (Gol. II/d)</v>
      </c>
      <c r="I4" s="28" t="s">
        <v>370</v>
      </c>
      <c r="J4" s="30">
        <v>45566</v>
      </c>
      <c r="K4" s="31" t="s">
        <v>510</v>
      </c>
      <c r="L4" s="32" t="str">
        <f t="shared" ref="L4:L35" ca="1" si="0">DATEDIF(J4,$A$2,"Y")&amp;" tahun, "&amp;DATEDIF(J4,$A$2,"YM")&amp;" bulan"</f>
        <v>1 tahun, 9 bulan</v>
      </c>
      <c r="M4" s="30" t="s">
        <v>527</v>
      </c>
      <c r="N4" s="30" t="s">
        <v>1</v>
      </c>
      <c r="O4" s="30">
        <v>26742</v>
      </c>
      <c r="P4" s="28" t="s">
        <v>769</v>
      </c>
      <c r="Q4" s="28" t="s">
        <v>768</v>
      </c>
      <c r="R4" s="35" t="str">
        <f t="shared" ref="R4:R35" ca="1" si="1">DATEDIF(O4,$A$2,"Y")&amp;" tahun"</f>
        <v>53 tahun</v>
      </c>
      <c r="S4" s="35" t="str">
        <f t="shared" ref="S4:S35" ca="1" si="2">DATEDIF(O4,$A$2,"YM")&amp;" bulan"</f>
        <v>4 bulan</v>
      </c>
      <c r="T4" s="35" t="str">
        <f t="shared" ref="T4:T35" ca="1" si="3">DATEDIF(O4,$A$2,"MD")&amp;" hari"</f>
        <v>10 hari</v>
      </c>
      <c r="U4" s="36" t="str">
        <f ca="1">DATEDIF(G4,$A$2,"Y")&amp;" tahun, "&amp;DATEDIF(G4,$A$2,"Ym")&amp;" bulan"</f>
        <v>10 tahun, 5 bulan</v>
      </c>
      <c r="V4" s="37">
        <f t="shared" ref="V4:V35" si="4">DATE(YEAR(O4)+58,MONTH(O4)+1,1)</f>
        <v>47939</v>
      </c>
    </row>
    <row r="5" spans="1:22" s="38" customFormat="1" ht="14.55" customHeight="1">
      <c r="A5" s="26">
        <v>2</v>
      </c>
      <c r="B5" s="27" t="s">
        <v>2</v>
      </c>
      <c r="C5" s="29" t="s">
        <v>327</v>
      </c>
      <c r="D5" s="28" t="s">
        <v>182</v>
      </c>
      <c r="E5" s="29" t="s">
        <v>966</v>
      </c>
      <c r="F5" s="29" t="s">
        <v>481</v>
      </c>
      <c r="G5" s="40">
        <v>39083</v>
      </c>
      <c r="H5" s="29" t="str">
        <f>VLOOKUP(I5,Sheet1!$A$4:$B$20,2,0)</f>
        <v>Penata (Gol. III/c)</v>
      </c>
      <c r="I5" s="28" t="s">
        <v>374</v>
      </c>
      <c r="J5" s="30">
        <v>46113</v>
      </c>
      <c r="K5" s="31" t="s">
        <v>984</v>
      </c>
      <c r="L5" s="32" t="str">
        <f t="shared" ca="1" si="0"/>
        <v>0 tahun, 3 bulan</v>
      </c>
      <c r="M5" s="30" t="s">
        <v>527</v>
      </c>
      <c r="N5" s="30" t="s">
        <v>421</v>
      </c>
      <c r="O5" s="30">
        <v>25699</v>
      </c>
      <c r="P5" s="28" t="s">
        <v>538</v>
      </c>
      <c r="Q5" s="28" t="s">
        <v>537</v>
      </c>
      <c r="R5" s="35" t="str">
        <f t="shared" ca="1" si="1"/>
        <v>56 tahun</v>
      </c>
      <c r="S5" s="35" t="str">
        <f t="shared" ca="1" si="2"/>
        <v>2 bulan</v>
      </c>
      <c r="T5" s="35" t="str">
        <f t="shared" ca="1" si="3"/>
        <v>18 hari</v>
      </c>
      <c r="U5" s="36" t="str">
        <f ca="1">DATEDIF(G5,$A$2,"Y")&amp;" tahun, "&amp;DATEDIF(G5,$A$2,"Ym")&amp;" bulan"</f>
        <v>19 tahun, 6 bulan</v>
      </c>
      <c r="V5" s="37">
        <f t="shared" si="4"/>
        <v>46905</v>
      </c>
    </row>
    <row r="6" spans="1:22" s="38" customFormat="1" ht="14.55" customHeight="1">
      <c r="A6" s="26">
        <v>3</v>
      </c>
      <c r="B6" s="27" t="s">
        <v>3</v>
      </c>
      <c r="C6" s="29" t="s">
        <v>4</v>
      </c>
      <c r="D6" s="28" t="s">
        <v>182</v>
      </c>
      <c r="E6" s="29" t="s">
        <v>392</v>
      </c>
      <c r="F6" s="29" t="s">
        <v>183</v>
      </c>
      <c r="G6" s="40">
        <v>41883</v>
      </c>
      <c r="H6" s="29" t="str">
        <f>VLOOKUP(I6,Sheet1!$A$4:$B$20,2,0)</f>
        <v>Pengatur (Gol. II/c)</v>
      </c>
      <c r="I6" s="28" t="s">
        <v>369</v>
      </c>
      <c r="J6" s="30">
        <v>44835</v>
      </c>
      <c r="K6" s="31" t="s">
        <v>495</v>
      </c>
      <c r="L6" s="32" t="str">
        <f t="shared" ca="1" si="0"/>
        <v>3 tahun, 9 bulan</v>
      </c>
      <c r="M6" s="30" t="s">
        <v>527</v>
      </c>
      <c r="N6" s="30" t="s">
        <v>1</v>
      </c>
      <c r="O6" s="30">
        <v>26480</v>
      </c>
      <c r="P6" s="28" t="s">
        <v>540</v>
      </c>
      <c r="Q6" s="28" t="s">
        <v>539</v>
      </c>
      <c r="R6" s="35" t="str">
        <f t="shared" ca="1" si="1"/>
        <v>54 tahun</v>
      </c>
      <c r="S6" s="35" t="str">
        <f t="shared" ca="1" si="2"/>
        <v>0 bulan</v>
      </c>
      <c r="T6" s="35" t="str">
        <f t="shared" ca="1" si="3"/>
        <v>29 hari</v>
      </c>
      <c r="U6" s="36" t="str">
        <f ca="1">DATEDIF(G6,$A$2,"Y")&amp;" tahun, "&amp;DATEDIF(G6,$A$2,"Ym")&amp;" bulan"</f>
        <v>11 tahun, 10 bulan</v>
      </c>
      <c r="V6" s="37">
        <f t="shared" si="4"/>
        <v>47665</v>
      </c>
    </row>
    <row r="7" spans="1:22" s="38" customFormat="1" ht="14.55" customHeight="1">
      <c r="A7" s="26">
        <v>4</v>
      </c>
      <c r="B7" s="27" t="s">
        <v>5</v>
      </c>
      <c r="C7" s="29" t="s">
        <v>6</v>
      </c>
      <c r="D7" s="28" t="s">
        <v>182</v>
      </c>
      <c r="E7" s="29" t="s">
        <v>413</v>
      </c>
      <c r="F7" s="29" t="s">
        <v>183</v>
      </c>
      <c r="G7" s="40">
        <v>39083</v>
      </c>
      <c r="H7" s="29" t="str">
        <f>VLOOKUP(I7,Sheet1!$A$4:$B$20,2,0)</f>
        <v>Pengatur Tk. I (Gol. II/d)</v>
      </c>
      <c r="I7" s="28" t="s">
        <v>370</v>
      </c>
      <c r="J7" s="30">
        <v>45017</v>
      </c>
      <c r="K7" s="31"/>
      <c r="L7" s="32" t="str">
        <f t="shared" ca="1" si="0"/>
        <v>3 tahun, 3 bulan</v>
      </c>
      <c r="M7" s="30" t="s">
        <v>527</v>
      </c>
      <c r="N7" s="30" t="s">
        <v>422</v>
      </c>
      <c r="O7" s="30">
        <v>26644</v>
      </c>
      <c r="P7" s="28" t="s">
        <v>542</v>
      </c>
      <c r="Q7" s="28" t="s">
        <v>541</v>
      </c>
      <c r="R7" s="35" t="str">
        <f t="shared" ca="1" si="1"/>
        <v>53 tahun</v>
      </c>
      <c r="S7" s="35" t="str">
        <f t="shared" ca="1" si="2"/>
        <v>7 bulan</v>
      </c>
      <c r="T7" s="35" t="str">
        <f t="shared" ca="1" si="3"/>
        <v>18 hari</v>
      </c>
      <c r="U7" s="36" t="str">
        <f ca="1">DATEDIF(G7,$A$2,"Y")&amp;" tahun, "&amp;DATEDIF(G7,$A$2,"Ym")&amp;" bulan"</f>
        <v>19 tahun, 6 bulan</v>
      </c>
      <c r="V7" s="37">
        <f t="shared" si="4"/>
        <v>47849</v>
      </c>
    </row>
    <row r="8" spans="1:22" s="38" customFormat="1" ht="14.55" customHeight="1">
      <c r="A8" s="26">
        <v>5</v>
      </c>
      <c r="B8" s="27" t="s">
        <v>7</v>
      </c>
      <c r="C8" s="29" t="s">
        <v>346</v>
      </c>
      <c r="D8" s="28" t="s">
        <v>182</v>
      </c>
      <c r="E8" s="29" t="s">
        <v>394</v>
      </c>
      <c r="F8" s="29" t="s">
        <v>183</v>
      </c>
      <c r="G8" s="40">
        <v>39356</v>
      </c>
      <c r="H8" s="29" t="str">
        <f>VLOOKUP(I8,Sheet1!$A$4:$B$20,2,0)</f>
        <v>Penata Muda Tk.I (Gol. III/b)</v>
      </c>
      <c r="I8" s="28" t="s">
        <v>373</v>
      </c>
      <c r="J8" s="30">
        <v>45748</v>
      </c>
      <c r="K8" s="31" t="s">
        <v>498</v>
      </c>
      <c r="L8" s="32" t="str">
        <f t="shared" ca="1" si="0"/>
        <v>1 tahun, 3 bulan</v>
      </c>
      <c r="M8" s="30" t="s">
        <v>527</v>
      </c>
      <c r="N8" s="30" t="s">
        <v>1</v>
      </c>
      <c r="O8" s="30">
        <v>26912</v>
      </c>
      <c r="P8" s="28" t="s">
        <v>544</v>
      </c>
      <c r="Q8" s="28" t="s">
        <v>543</v>
      </c>
      <c r="R8" s="35" t="str">
        <f t="shared" ca="1" si="1"/>
        <v>52 tahun</v>
      </c>
      <c r="S8" s="35" t="str">
        <f t="shared" ca="1" si="2"/>
        <v>10 bulan</v>
      </c>
      <c r="T8" s="35" t="str">
        <f t="shared" ca="1" si="3"/>
        <v>24 hari</v>
      </c>
      <c r="U8" s="36" t="str">
        <f ca="1">DATEDIF(G8,$A$2,"Y")&amp;" tahun, "&amp;DATEDIF(G8,$A$2,"Ym")&amp;" bulan"</f>
        <v>18 tahun, 9 bulan</v>
      </c>
      <c r="V8" s="37">
        <f t="shared" si="4"/>
        <v>48122</v>
      </c>
    </row>
    <row r="9" spans="1:22" s="38" customFormat="1" ht="14.55" customHeight="1">
      <c r="A9" s="26">
        <v>6</v>
      </c>
      <c r="B9" s="27" t="s">
        <v>8</v>
      </c>
      <c r="C9" s="29" t="s">
        <v>9</v>
      </c>
      <c r="D9" s="28" t="s">
        <v>182</v>
      </c>
      <c r="E9" s="29" t="s">
        <v>394</v>
      </c>
      <c r="F9" s="29" t="s">
        <v>183</v>
      </c>
      <c r="G9" s="40">
        <v>39722</v>
      </c>
      <c r="H9" s="29" t="str">
        <f>VLOOKUP(I9,Sheet1!$A$4:$B$20,2,0)</f>
        <v>Penata Muda (Gol. III/a)</v>
      </c>
      <c r="I9" s="33" t="s">
        <v>367</v>
      </c>
      <c r="J9" s="30">
        <v>45566</v>
      </c>
      <c r="K9" s="31" t="s">
        <v>521</v>
      </c>
      <c r="L9" s="32" t="str">
        <f t="shared" ca="1" si="0"/>
        <v>1 tahun, 9 bulan</v>
      </c>
      <c r="M9" s="30" t="s">
        <v>527</v>
      </c>
      <c r="N9" s="30" t="s">
        <v>1</v>
      </c>
      <c r="O9" s="30">
        <v>28106</v>
      </c>
      <c r="P9" s="28" t="s">
        <v>546</v>
      </c>
      <c r="Q9" s="28" t="s">
        <v>545</v>
      </c>
      <c r="R9" s="35" t="str">
        <f t="shared" ca="1" si="1"/>
        <v>49 tahun</v>
      </c>
      <c r="S9" s="35" t="str">
        <f t="shared" ca="1" si="2"/>
        <v>7 bulan</v>
      </c>
      <c r="T9" s="35" t="str">
        <f t="shared" ca="1" si="3"/>
        <v>17 hari</v>
      </c>
      <c r="U9" s="36" t="str">
        <f ca="1">DATEDIF(G9,$A$2,"Y")&amp;" tahun, "&amp;DATEDIF(G9,$A$2,"Ym")&amp;" bulan"</f>
        <v>17 tahun, 9 bulan</v>
      </c>
      <c r="V9" s="37">
        <f t="shared" si="4"/>
        <v>49310</v>
      </c>
    </row>
    <row r="10" spans="1:22" s="38" customFormat="1" ht="14.55" customHeight="1">
      <c r="A10" s="26">
        <v>7</v>
      </c>
      <c r="B10" s="27" t="s">
        <v>322</v>
      </c>
      <c r="C10" s="29" t="s">
        <v>323</v>
      </c>
      <c r="D10" s="28" t="s">
        <v>186</v>
      </c>
      <c r="E10" s="29" t="s">
        <v>403</v>
      </c>
      <c r="F10" s="29" t="s">
        <v>187</v>
      </c>
      <c r="G10" s="40">
        <v>42401</v>
      </c>
      <c r="H10" s="29" t="str">
        <f>VLOOKUP(I10,Sheet1!$A$4:$B$20,2,0)</f>
        <v>Penata Muda Tk.I (Gol. III/b)</v>
      </c>
      <c r="I10" s="28" t="s">
        <v>373</v>
      </c>
      <c r="J10" s="30">
        <v>45200</v>
      </c>
      <c r="K10" s="31"/>
      <c r="L10" s="32" t="str">
        <f t="shared" ca="1" si="0"/>
        <v>2 tahun, 9 bulan</v>
      </c>
      <c r="M10" s="30" t="s">
        <v>527</v>
      </c>
      <c r="N10" s="30" t="s">
        <v>1</v>
      </c>
      <c r="O10" s="30">
        <v>31308</v>
      </c>
      <c r="P10" s="28" t="s">
        <v>771</v>
      </c>
      <c r="Q10" s="28" t="s">
        <v>770</v>
      </c>
      <c r="R10" s="35" t="str">
        <f t="shared" ca="1" si="1"/>
        <v>40 tahun</v>
      </c>
      <c r="S10" s="35" t="str">
        <f t="shared" ca="1" si="2"/>
        <v>10 bulan</v>
      </c>
      <c r="T10" s="35" t="str">
        <f t="shared" ca="1" si="3"/>
        <v>11 hari</v>
      </c>
      <c r="U10" s="36" t="str">
        <f ca="1">DATEDIF(G10,$A$2,"Y")&amp;" tahun, "&amp;DATEDIF(G10,$A$2,"Ym")&amp;" bulan"</f>
        <v>10 tahun, 5 bulan</v>
      </c>
      <c r="V10" s="37">
        <f t="shared" si="4"/>
        <v>52505</v>
      </c>
    </row>
    <row r="11" spans="1:22" s="38" customFormat="1" ht="14.55" customHeight="1">
      <c r="A11" s="26">
        <v>8</v>
      </c>
      <c r="B11" s="27" t="s">
        <v>10</v>
      </c>
      <c r="C11" s="29" t="s">
        <v>11</v>
      </c>
      <c r="D11" s="28" t="s">
        <v>182</v>
      </c>
      <c r="E11" s="29" t="s">
        <v>395</v>
      </c>
      <c r="F11" s="29" t="s">
        <v>183</v>
      </c>
      <c r="G11" s="40">
        <v>39356</v>
      </c>
      <c r="H11" s="29" t="str">
        <f>VLOOKUP(I11,Sheet1!$A$4:$B$20,2,0)</f>
        <v>Pengatur (Gol. II/c)</v>
      </c>
      <c r="I11" s="28" t="s">
        <v>369</v>
      </c>
      <c r="J11" s="30">
        <v>45444</v>
      </c>
      <c r="K11" s="31"/>
      <c r="L11" s="32" t="str">
        <f t="shared" ca="1" si="0"/>
        <v>2 tahun, 1 bulan</v>
      </c>
      <c r="M11" s="30" t="s">
        <v>527</v>
      </c>
      <c r="N11" s="30" t="s">
        <v>421</v>
      </c>
      <c r="O11" s="30">
        <v>29069</v>
      </c>
      <c r="P11" s="28" t="s">
        <v>548</v>
      </c>
      <c r="Q11" s="28" t="s">
        <v>547</v>
      </c>
      <c r="R11" s="35" t="str">
        <f t="shared" ca="1" si="1"/>
        <v>46 tahun</v>
      </c>
      <c r="S11" s="35" t="str">
        <f t="shared" ca="1" si="2"/>
        <v>11 bulan</v>
      </c>
      <c r="T11" s="35" t="str">
        <f t="shared" ca="1" si="3"/>
        <v>27 hari</v>
      </c>
      <c r="U11" s="36" t="str">
        <f ca="1">DATEDIF(G11,$A$2,"Y")&amp;" tahun, "&amp;DATEDIF(G11,$A$2,"Ym")&amp;" bulan"</f>
        <v>18 tahun, 9 bulan</v>
      </c>
      <c r="V11" s="37">
        <f t="shared" si="4"/>
        <v>50284</v>
      </c>
    </row>
    <row r="12" spans="1:22" s="38" customFormat="1" ht="14.55" customHeight="1">
      <c r="A12" s="26">
        <v>9</v>
      </c>
      <c r="B12" s="27" t="s">
        <v>328</v>
      </c>
      <c r="C12" s="29" t="s">
        <v>329</v>
      </c>
      <c r="D12" s="28" t="s">
        <v>186</v>
      </c>
      <c r="E12" s="29" t="s">
        <v>394</v>
      </c>
      <c r="F12" s="29" t="s">
        <v>187</v>
      </c>
      <c r="G12" s="40">
        <v>42401</v>
      </c>
      <c r="H12" s="29" t="str">
        <f>VLOOKUP(I12,Sheet1!$A$4:$B$20,2,0)</f>
        <v>Pengatur (Gol. II/c)</v>
      </c>
      <c r="I12" s="33" t="s">
        <v>369</v>
      </c>
      <c r="J12" s="30">
        <v>45748</v>
      </c>
      <c r="K12" s="31" t="s">
        <v>908</v>
      </c>
      <c r="L12" s="32" t="str">
        <f t="shared" ca="1" si="0"/>
        <v>1 tahun, 3 bulan</v>
      </c>
      <c r="M12" s="30" t="s">
        <v>527</v>
      </c>
      <c r="N12" s="30" t="s">
        <v>421</v>
      </c>
      <c r="O12" s="30">
        <v>30768</v>
      </c>
      <c r="P12" s="28" t="s">
        <v>773</v>
      </c>
      <c r="Q12" s="28" t="s">
        <v>772</v>
      </c>
      <c r="R12" s="35" t="str">
        <f t="shared" ca="1" si="1"/>
        <v>42 tahun</v>
      </c>
      <c r="S12" s="35" t="str">
        <f t="shared" ca="1" si="2"/>
        <v>4 bulan</v>
      </c>
      <c r="T12" s="35" t="str">
        <f t="shared" ca="1" si="3"/>
        <v>2 hari</v>
      </c>
      <c r="U12" s="36" t="str">
        <f ca="1">DATEDIF(G12,$A$2,"Y")&amp;" tahun, "&amp;DATEDIF(G12,$A$2,"Ym")&amp;" bulan"</f>
        <v>10 tahun, 5 bulan</v>
      </c>
      <c r="V12" s="37">
        <f t="shared" si="4"/>
        <v>51957</v>
      </c>
    </row>
    <row r="13" spans="1:22" s="38" customFormat="1" ht="14.55" customHeight="1">
      <c r="A13" s="26">
        <v>10</v>
      </c>
      <c r="B13" s="27" t="s">
        <v>332</v>
      </c>
      <c r="C13" s="29" t="s">
        <v>333</v>
      </c>
      <c r="D13" s="28" t="s">
        <v>186</v>
      </c>
      <c r="E13" s="29" t="s">
        <v>394</v>
      </c>
      <c r="F13" s="29" t="s">
        <v>187</v>
      </c>
      <c r="G13" s="40">
        <v>42401</v>
      </c>
      <c r="H13" s="29" t="str">
        <f>VLOOKUP(I13,Sheet1!$A$4:$B$20,2,0)</f>
        <v>Pengatur Muda Tk. I (Gol. II/b)</v>
      </c>
      <c r="I13" s="28" t="s">
        <v>368</v>
      </c>
      <c r="J13" s="30">
        <v>44835</v>
      </c>
      <c r="K13" s="31"/>
      <c r="L13" s="32" t="str">
        <f t="shared" ca="1" si="0"/>
        <v>3 tahun, 9 bulan</v>
      </c>
      <c r="M13" s="30" t="s">
        <v>527</v>
      </c>
      <c r="N13" s="30" t="s">
        <v>421</v>
      </c>
      <c r="O13" s="30">
        <v>28544</v>
      </c>
      <c r="P13" s="43" t="s">
        <v>916</v>
      </c>
      <c r="Q13" s="28" t="s">
        <v>774</v>
      </c>
      <c r="R13" s="35" t="str">
        <f t="shared" ca="1" si="1"/>
        <v>48 tahun</v>
      </c>
      <c r="S13" s="35" t="str">
        <f t="shared" ca="1" si="2"/>
        <v>5 bulan</v>
      </c>
      <c r="T13" s="35" t="str">
        <f t="shared" ca="1" si="3"/>
        <v>6 hari</v>
      </c>
      <c r="U13" s="36" t="str">
        <f ca="1">DATEDIF(G13,$A$2,"Y")&amp;" tahun, "&amp;DATEDIF(G13,$A$2,"Ym")&amp;" bulan"</f>
        <v>10 tahun, 5 bulan</v>
      </c>
      <c r="V13" s="37">
        <f t="shared" si="4"/>
        <v>49735</v>
      </c>
    </row>
    <row r="14" spans="1:22" s="38" customFormat="1" ht="14.55" customHeight="1">
      <c r="A14" s="26">
        <v>11</v>
      </c>
      <c r="B14" s="27" t="s">
        <v>227</v>
      </c>
      <c r="C14" s="29" t="s">
        <v>242</v>
      </c>
      <c r="D14" s="28" t="s">
        <v>186</v>
      </c>
      <c r="E14" s="29" t="s">
        <v>393</v>
      </c>
      <c r="F14" s="29" t="s">
        <v>187</v>
      </c>
      <c r="G14" s="40">
        <v>43617</v>
      </c>
      <c r="H14" s="29" t="str">
        <f>VLOOKUP(I14,Sheet1!$A$4:$B$20,2,0)</f>
        <v>Pengatur (Gol. II/c)</v>
      </c>
      <c r="I14" s="33" t="s">
        <v>369</v>
      </c>
      <c r="J14" s="30">
        <v>45748</v>
      </c>
      <c r="K14" s="31" t="s">
        <v>909</v>
      </c>
      <c r="L14" s="32" t="str">
        <f t="shared" ca="1" si="0"/>
        <v>1 tahun, 3 bulan</v>
      </c>
      <c r="M14" s="30" t="s">
        <v>527</v>
      </c>
      <c r="N14" s="30" t="s">
        <v>1</v>
      </c>
      <c r="O14" s="30">
        <v>27594</v>
      </c>
      <c r="P14" s="43" t="s">
        <v>931</v>
      </c>
      <c r="Q14" s="28" t="s">
        <v>775</v>
      </c>
      <c r="R14" s="35" t="str">
        <f t="shared" ca="1" si="1"/>
        <v>51 tahun</v>
      </c>
      <c r="S14" s="35" t="str">
        <f t="shared" ca="1" si="2"/>
        <v>0 bulan</v>
      </c>
      <c r="T14" s="35" t="str">
        <f t="shared" ca="1" si="3"/>
        <v>10 hari</v>
      </c>
      <c r="U14" s="36" t="str">
        <f ca="1">DATEDIF(G14,$A$2,"Y")&amp;" tahun, "&amp;DATEDIF(G14,$A$2,"Ym")&amp;" bulan"</f>
        <v>7 tahun, 1 bulan</v>
      </c>
      <c r="V14" s="37">
        <f t="shared" si="4"/>
        <v>48792</v>
      </c>
    </row>
    <row r="15" spans="1:22" s="38" customFormat="1" ht="14.55" customHeight="1">
      <c r="A15" s="26">
        <v>12</v>
      </c>
      <c r="B15" s="27" t="s">
        <v>12</v>
      </c>
      <c r="C15" s="29" t="s">
        <v>13</v>
      </c>
      <c r="D15" s="28" t="s">
        <v>182</v>
      </c>
      <c r="E15" s="29" t="s">
        <v>395</v>
      </c>
      <c r="F15" s="29" t="s">
        <v>183</v>
      </c>
      <c r="G15" s="40">
        <v>40087</v>
      </c>
      <c r="H15" s="29" t="str">
        <f>VLOOKUP(I15,Sheet1!$A$4:$B$20,2,0)</f>
        <v>Penata Muda (Gol. III/a)</v>
      </c>
      <c r="I15" s="28" t="s">
        <v>367</v>
      </c>
      <c r="J15" s="30">
        <v>45931</v>
      </c>
      <c r="K15" s="31" t="s">
        <v>940</v>
      </c>
      <c r="L15" s="32" t="str">
        <f t="shared" ca="1" si="0"/>
        <v>0 tahun, 9 bulan</v>
      </c>
      <c r="M15" s="30" t="s">
        <v>527</v>
      </c>
      <c r="N15" s="30" t="s">
        <v>1</v>
      </c>
      <c r="O15" s="30">
        <v>28366</v>
      </c>
      <c r="P15" s="28" t="s">
        <v>550</v>
      </c>
      <c r="Q15" s="28" t="s">
        <v>549</v>
      </c>
      <c r="R15" s="35" t="str">
        <f t="shared" ca="1" si="1"/>
        <v>48 tahun</v>
      </c>
      <c r="S15" s="35" t="str">
        <f t="shared" ca="1" si="2"/>
        <v>11 bulan</v>
      </c>
      <c r="T15" s="35" t="str">
        <f t="shared" ca="1" si="3"/>
        <v>0 hari</v>
      </c>
      <c r="U15" s="36" t="str">
        <f ca="1">DATEDIF(G15,$A$2,"Y")&amp;" tahun, "&amp;DATEDIF(G15,$A$2,"Ym")&amp;" bulan"</f>
        <v>16 tahun, 9 bulan</v>
      </c>
      <c r="V15" s="37">
        <f t="shared" si="4"/>
        <v>49553</v>
      </c>
    </row>
    <row r="16" spans="1:22" s="38" customFormat="1" ht="14.55" customHeight="1">
      <c r="A16" s="26">
        <v>13</v>
      </c>
      <c r="B16" s="27" t="s">
        <v>243</v>
      </c>
      <c r="C16" s="29" t="s">
        <v>244</v>
      </c>
      <c r="D16" s="28" t="s">
        <v>186</v>
      </c>
      <c r="E16" s="29" t="s">
        <v>398</v>
      </c>
      <c r="F16" s="29" t="s">
        <v>187</v>
      </c>
      <c r="G16" s="40">
        <v>42401</v>
      </c>
      <c r="H16" s="29" t="str">
        <f>VLOOKUP(I16,Sheet1!$A$4:$B$20,2,0)</f>
        <v>Pengatur (Gol. II/c)</v>
      </c>
      <c r="I16" s="33" t="s">
        <v>369</v>
      </c>
      <c r="J16" s="30">
        <v>45748</v>
      </c>
      <c r="K16" s="31" t="s">
        <v>910</v>
      </c>
      <c r="L16" s="32" t="str">
        <f t="shared" ca="1" si="0"/>
        <v>1 tahun, 3 bulan</v>
      </c>
      <c r="M16" s="30" t="s">
        <v>527</v>
      </c>
      <c r="N16" s="30" t="s">
        <v>421</v>
      </c>
      <c r="O16" s="30">
        <v>28271</v>
      </c>
      <c r="P16" s="28" t="s">
        <v>777</v>
      </c>
      <c r="Q16" s="28" t="s">
        <v>776</v>
      </c>
      <c r="R16" s="35" t="str">
        <f t="shared" ca="1" si="1"/>
        <v>49 tahun</v>
      </c>
      <c r="S16" s="35" t="str">
        <f t="shared" ca="1" si="2"/>
        <v>2 bulan</v>
      </c>
      <c r="T16" s="35" t="str">
        <f t="shared" ca="1" si="3"/>
        <v>3 hari</v>
      </c>
      <c r="U16" s="36" t="str">
        <f ca="1">DATEDIF(G16,$A$2,"Y")&amp;" tahun, "&amp;DATEDIF(G16,$A$2,"Ym")&amp;" bulan"</f>
        <v>10 tahun, 5 bulan</v>
      </c>
      <c r="V16" s="37">
        <f t="shared" si="4"/>
        <v>49461</v>
      </c>
    </row>
    <row r="17" spans="1:22" s="38" customFormat="1" ht="14.55" customHeight="1">
      <c r="A17" s="26">
        <v>14</v>
      </c>
      <c r="B17" s="27" t="s">
        <v>14</v>
      </c>
      <c r="C17" s="29" t="s">
        <v>334</v>
      </c>
      <c r="D17" s="28" t="s">
        <v>182</v>
      </c>
      <c r="E17" s="29" t="s">
        <v>394</v>
      </c>
      <c r="F17" s="29" t="s">
        <v>183</v>
      </c>
      <c r="G17" s="40">
        <v>40087</v>
      </c>
      <c r="H17" s="29" t="str">
        <f>VLOOKUP(I17,Sheet1!$A$4:$B$20,2,0)</f>
        <v>Penata (Gol. III/c)</v>
      </c>
      <c r="I17" s="28" t="s">
        <v>374</v>
      </c>
      <c r="J17" s="30">
        <v>45383</v>
      </c>
      <c r="K17" s="31" t="s">
        <v>499</v>
      </c>
      <c r="L17" s="32" t="str">
        <f t="shared" ca="1" si="0"/>
        <v>2 tahun, 3 bulan</v>
      </c>
      <c r="M17" s="30" t="s">
        <v>527</v>
      </c>
      <c r="N17" s="30" t="s">
        <v>1</v>
      </c>
      <c r="O17" s="30">
        <v>31261</v>
      </c>
      <c r="P17" s="28" t="s">
        <v>552</v>
      </c>
      <c r="Q17" s="28" t="s">
        <v>551</v>
      </c>
      <c r="R17" s="35" t="str">
        <f t="shared" ca="1" si="1"/>
        <v>40 tahun</v>
      </c>
      <c r="S17" s="35" t="str">
        <f t="shared" ca="1" si="2"/>
        <v>11 bulan</v>
      </c>
      <c r="T17" s="35" t="str">
        <f t="shared" ca="1" si="3"/>
        <v>27 hari</v>
      </c>
      <c r="U17" s="36" t="str">
        <f ca="1">DATEDIF(G17,$A$2,"Y")&amp;" tahun, "&amp;DATEDIF(G17,$A$2,"Ym")&amp;" bulan"</f>
        <v>16 tahun, 9 bulan</v>
      </c>
      <c r="V17" s="37">
        <f t="shared" si="4"/>
        <v>52475</v>
      </c>
    </row>
    <row r="18" spans="1:22" s="38" customFormat="1" ht="14.55" customHeight="1">
      <c r="A18" s="26">
        <v>15</v>
      </c>
      <c r="B18" s="27" t="s">
        <v>15</v>
      </c>
      <c r="C18" s="29" t="s">
        <v>16</v>
      </c>
      <c r="D18" s="28" t="s">
        <v>182</v>
      </c>
      <c r="E18" s="29" t="s">
        <v>398</v>
      </c>
      <c r="F18" s="29" t="s">
        <v>183</v>
      </c>
      <c r="G18" s="40">
        <v>41883</v>
      </c>
      <c r="H18" s="29" t="str">
        <f>VLOOKUP(I18,Sheet1!$A$4:$B$20,2,0)</f>
        <v>Pengatur (Gol. II/c)</v>
      </c>
      <c r="I18" s="28" t="s">
        <v>369</v>
      </c>
      <c r="J18" s="30">
        <v>44835</v>
      </c>
      <c r="K18" s="31"/>
      <c r="L18" s="32" t="str">
        <f t="shared" ca="1" si="0"/>
        <v>3 tahun, 9 bulan</v>
      </c>
      <c r="M18" s="30" t="s">
        <v>527</v>
      </c>
      <c r="N18" s="30" t="s">
        <v>421</v>
      </c>
      <c r="O18" s="30">
        <v>28939</v>
      </c>
      <c r="P18" s="28" t="s">
        <v>554</v>
      </c>
      <c r="Q18" s="28" t="s">
        <v>553</v>
      </c>
      <c r="R18" s="35" t="str">
        <f t="shared" ca="1" si="1"/>
        <v>47 tahun</v>
      </c>
      <c r="S18" s="35" t="str">
        <f t="shared" ca="1" si="2"/>
        <v>4 bulan</v>
      </c>
      <c r="T18" s="35" t="str">
        <f t="shared" ca="1" si="3"/>
        <v>4 hari</v>
      </c>
      <c r="U18" s="36" t="str">
        <f ca="1">DATEDIF(G18,$A$2,"Y")&amp;" tahun, "&amp;DATEDIF(G18,$A$2,"Ym")&amp;" bulan"</f>
        <v>11 tahun, 10 bulan</v>
      </c>
      <c r="V18" s="37">
        <f t="shared" si="4"/>
        <v>50131</v>
      </c>
    </row>
    <row r="19" spans="1:22" s="38" customFormat="1" ht="14.55" customHeight="1">
      <c r="A19" s="26">
        <v>16</v>
      </c>
      <c r="B19" s="27" t="s">
        <v>397</v>
      </c>
      <c r="C19" s="29" t="s">
        <v>383</v>
      </c>
      <c r="D19" s="28" t="s">
        <v>182</v>
      </c>
      <c r="E19" s="29" t="s">
        <v>399</v>
      </c>
      <c r="F19" s="29" t="s">
        <v>183</v>
      </c>
      <c r="G19" s="40">
        <v>39083</v>
      </c>
      <c r="H19" s="29" t="str">
        <f>VLOOKUP(I19,Sheet1!$A$4:$B$20,2,0)</f>
        <v>Penata Muda (Gol. III/a)</v>
      </c>
      <c r="I19" s="28" t="s">
        <v>367</v>
      </c>
      <c r="J19" s="30">
        <v>45017</v>
      </c>
      <c r="K19" s="31"/>
      <c r="L19" s="32" t="str">
        <f t="shared" ca="1" si="0"/>
        <v>3 tahun, 3 bulan</v>
      </c>
      <c r="M19" s="30" t="s">
        <v>527</v>
      </c>
      <c r="N19" s="30" t="s">
        <v>1</v>
      </c>
      <c r="O19" s="30">
        <v>28041</v>
      </c>
      <c r="P19" s="28" t="s">
        <v>556</v>
      </c>
      <c r="Q19" s="28" t="s">
        <v>555</v>
      </c>
      <c r="R19" s="35" t="str">
        <f t="shared" ca="1" si="1"/>
        <v>49 tahun</v>
      </c>
      <c r="S19" s="35" t="str">
        <f t="shared" ca="1" si="2"/>
        <v>9 bulan</v>
      </c>
      <c r="T19" s="35" t="str">
        <f t="shared" ca="1" si="3"/>
        <v>21 hari</v>
      </c>
      <c r="U19" s="36" t="str">
        <f ca="1">DATEDIF(G19,$A$2,"Y")&amp;" tahun, "&amp;DATEDIF(G19,$A$2,"Ym")&amp;" bulan"</f>
        <v>19 tahun, 6 bulan</v>
      </c>
      <c r="V19" s="37">
        <f t="shared" si="4"/>
        <v>49249</v>
      </c>
    </row>
    <row r="20" spans="1:22" s="38" customFormat="1" ht="14.55" customHeight="1">
      <c r="A20" s="26">
        <v>17</v>
      </c>
      <c r="B20" s="44" t="s">
        <v>225</v>
      </c>
      <c r="C20" s="29" t="s">
        <v>226</v>
      </c>
      <c r="D20" s="28" t="s">
        <v>186</v>
      </c>
      <c r="E20" s="29" t="s">
        <v>405</v>
      </c>
      <c r="F20" s="29" t="s">
        <v>187</v>
      </c>
      <c r="G20" s="40">
        <v>42401</v>
      </c>
      <c r="H20" s="29" t="str">
        <f>VLOOKUP(I20,Sheet1!$A$4:$B$20,2,0)</f>
        <v>Penata Muda Tk.I (Gol. III/b)</v>
      </c>
      <c r="I20" s="28" t="s">
        <v>373</v>
      </c>
      <c r="J20" s="30">
        <v>45017</v>
      </c>
      <c r="K20" s="31"/>
      <c r="L20" s="32" t="str">
        <f t="shared" ca="1" si="0"/>
        <v>3 tahun, 3 bulan</v>
      </c>
      <c r="M20" s="30" t="s">
        <v>527</v>
      </c>
      <c r="N20" s="30" t="s">
        <v>423</v>
      </c>
      <c r="O20" s="30">
        <v>28357</v>
      </c>
      <c r="P20" s="28" t="s">
        <v>779</v>
      </c>
      <c r="Q20" s="28" t="s">
        <v>778</v>
      </c>
      <c r="R20" s="35" t="str">
        <f t="shared" ca="1" si="1"/>
        <v>48 tahun</v>
      </c>
      <c r="S20" s="35" t="str">
        <f t="shared" ca="1" si="2"/>
        <v>11 bulan</v>
      </c>
      <c r="T20" s="35" t="str">
        <f t="shared" ca="1" si="3"/>
        <v>9 hari</v>
      </c>
      <c r="U20" s="36" t="str">
        <f ca="1">DATEDIF(G20,$A$2,"Y")&amp;" tahun, "&amp;DATEDIF(G20,$A$2,"Ym")&amp;" bulan"</f>
        <v>10 tahun, 5 bulan</v>
      </c>
      <c r="V20" s="37">
        <f t="shared" si="4"/>
        <v>49553</v>
      </c>
    </row>
    <row r="21" spans="1:22" s="38" customFormat="1" ht="14.55" customHeight="1">
      <c r="A21" s="26">
        <v>18</v>
      </c>
      <c r="B21" s="27" t="s">
        <v>17</v>
      </c>
      <c r="C21" s="29" t="s">
        <v>189</v>
      </c>
      <c r="D21" s="28" t="s">
        <v>182</v>
      </c>
      <c r="E21" s="29" t="s">
        <v>947</v>
      </c>
      <c r="F21" s="29" t="s">
        <v>481</v>
      </c>
      <c r="G21" s="40">
        <v>41883</v>
      </c>
      <c r="H21" s="29" t="str">
        <f>VLOOKUP(I21,Sheet1!$A$4:$B$20,2,0)</f>
        <v>Pengatur Tk. I (Gol. II/d)</v>
      </c>
      <c r="I21" s="28" t="s">
        <v>370</v>
      </c>
      <c r="J21" s="30">
        <v>45627</v>
      </c>
      <c r="K21" s="31"/>
      <c r="L21" s="32" t="str">
        <f t="shared" ca="1" si="0"/>
        <v>1 tahun, 7 bulan</v>
      </c>
      <c r="M21" s="30" t="s">
        <v>527</v>
      </c>
      <c r="N21" s="30" t="s">
        <v>425</v>
      </c>
      <c r="O21" s="30">
        <v>27760</v>
      </c>
      <c r="P21" s="28" t="s">
        <v>558</v>
      </c>
      <c r="Q21" s="28" t="s">
        <v>557</v>
      </c>
      <c r="R21" s="35" t="str">
        <f t="shared" ca="1" si="1"/>
        <v>50 tahun</v>
      </c>
      <c r="S21" s="35" t="str">
        <f t="shared" ca="1" si="2"/>
        <v>6 bulan</v>
      </c>
      <c r="T21" s="35" t="str">
        <f t="shared" ca="1" si="3"/>
        <v>28 hari</v>
      </c>
      <c r="U21" s="36" t="str">
        <f ca="1">DATEDIF(G21,$A$2,"Y")&amp;" tahun, "&amp;DATEDIF(G21,$A$2,"Ym")&amp;" bulan"</f>
        <v>11 tahun, 10 bulan</v>
      </c>
      <c r="V21" s="37">
        <f t="shared" si="4"/>
        <v>48976</v>
      </c>
    </row>
    <row r="22" spans="1:22" s="38" customFormat="1" ht="14.55" customHeight="1">
      <c r="A22" s="26">
        <v>19</v>
      </c>
      <c r="B22" s="27" t="s">
        <v>18</v>
      </c>
      <c r="C22" s="29" t="s">
        <v>326</v>
      </c>
      <c r="D22" s="28" t="s">
        <v>182</v>
      </c>
      <c r="E22" s="29" t="s">
        <v>953</v>
      </c>
      <c r="F22" s="29" t="s">
        <v>481</v>
      </c>
      <c r="G22" s="40">
        <v>36220</v>
      </c>
      <c r="H22" s="29" t="str">
        <f>VLOOKUP(I22,Sheet1!$A$4:$B$20,2,0)</f>
        <v>Penata Muda (Gol. III/a)</v>
      </c>
      <c r="I22" s="28" t="s">
        <v>367</v>
      </c>
      <c r="J22" s="30">
        <v>42095</v>
      </c>
      <c r="K22" s="31"/>
      <c r="L22" s="32" t="str">
        <f t="shared" ca="1" si="0"/>
        <v>11 tahun, 3 bulan</v>
      </c>
      <c r="M22" s="30" t="s">
        <v>527</v>
      </c>
      <c r="N22" s="30" t="s">
        <v>1</v>
      </c>
      <c r="O22" s="30">
        <v>25341</v>
      </c>
      <c r="P22" s="28" t="s">
        <v>560</v>
      </c>
      <c r="Q22" s="28" t="s">
        <v>559</v>
      </c>
      <c r="R22" s="35" t="str">
        <f t="shared" ca="1" si="1"/>
        <v>57 tahun</v>
      </c>
      <c r="S22" s="35" t="str">
        <f t="shared" ca="1" si="2"/>
        <v>2 bulan</v>
      </c>
      <c r="T22" s="35" t="str">
        <f t="shared" ca="1" si="3"/>
        <v>11 hari</v>
      </c>
      <c r="U22" s="36" t="str">
        <f ca="1">DATEDIF(G22,$A$2,"Y")&amp;" tahun, "&amp;DATEDIF(G22,$A$2,"Ym")&amp;" bulan"</f>
        <v>27 tahun, 4 bulan</v>
      </c>
      <c r="V22" s="37">
        <f t="shared" si="4"/>
        <v>46539</v>
      </c>
    </row>
    <row r="23" spans="1:22" s="38" customFormat="1" ht="14.55" customHeight="1">
      <c r="A23" s="26">
        <v>20</v>
      </c>
      <c r="B23" s="27" t="s">
        <v>19</v>
      </c>
      <c r="C23" s="29" t="s">
        <v>340</v>
      </c>
      <c r="D23" s="28" t="s">
        <v>182</v>
      </c>
      <c r="E23" s="29" t="s">
        <v>946</v>
      </c>
      <c r="F23" s="29" t="s">
        <v>481</v>
      </c>
      <c r="G23" s="40">
        <v>41883</v>
      </c>
      <c r="H23" s="29" t="str">
        <f>VLOOKUP(I23,Sheet1!$A$4:$B$20,2,0)</f>
        <v>Pengatur Tk. I (Gol. II/d)</v>
      </c>
      <c r="I23" s="28" t="s">
        <v>370</v>
      </c>
      <c r="J23" s="30">
        <v>43374</v>
      </c>
      <c r="K23" s="31"/>
      <c r="L23" s="32" t="str">
        <f t="shared" ca="1" si="0"/>
        <v>7 tahun, 9 bulan</v>
      </c>
      <c r="M23" s="30" t="s">
        <v>527</v>
      </c>
      <c r="N23" s="30" t="s">
        <v>1</v>
      </c>
      <c r="O23" s="30">
        <v>29494</v>
      </c>
      <c r="P23" s="28" t="s">
        <v>562</v>
      </c>
      <c r="Q23" s="28" t="s">
        <v>561</v>
      </c>
      <c r="R23" s="35" t="str">
        <f t="shared" ca="1" si="1"/>
        <v>45 tahun</v>
      </c>
      <c r="S23" s="35" t="str">
        <f t="shared" ca="1" si="2"/>
        <v>9 bulan</v>
      </c>
      <c r="T23" s="35" t="str">
        <f t="shared" ca="1" si="3"/>
        <v>29 hari</v>
      </c>
      <c r="U23" s="36" t="str">
        <f ca="1">DATEDIF(G23,$A$2,"Y")&amp;" tahun, "&amp;DATEDIF(G23,$A$2,"Ym")&amp;" bulan"</f>
        <v>11 tahun, 10 bulan</v>
      </c>
      <c r="V23" s="37">
        <f t="shared" si="4"/>
        <v>50679</v>
      </c>
    </row>
    <row r="24" spans="1:22" s="38" customFormat="1" ht="14.55" customHeight="1">
      <c r="A24" s="26">
        <v>21</v>
      </c>
      <c r="B24" s="27" t="s">
        <v>217</v>
      </c>
      <c r="C24" s="29" t="s">
        <v>218</v>
      </c>
      <c r="D24" s="28" t="s">
        <v>186</v>
      </c>
      <c r="E24" s="29" t="s">
        <v>401</v>
      </c>
      <c r="F24" s="29" t="s">
        <v>187</v>
      </c>
      <c r="G24" s="40">
        <v>42401</v>
      </c>
      <c r="H24" s="29" t="str">
        <f>VLOOKUP(I24,Sheet1!$A$4:$B$20,2,0)</f>
        <v>Penata Muda Tk.I (Gol. III/b)</v>
      </c>
      <c r="I24" s="28" t="s">
        <v>373</v>
      </c>
      <c r="J24" s="30">
        <v>44835</v>
      </c>
      <c r="K24" s="31"/>
      <c r="L24" s="32" t="str">
        <f t="shared" ca="1" si="0"/>
        <v>3 tahun, 9 bulan</v>
      </c>
      <c r="M24" s="30" t="s">
        <v>528</v>
      </c>
      <c r="N24" s="30" t="s">
        <v>1</v>
      </c>
      <c r="O24" s="30">
        <v>28366</v>
      </c>
      <c r="P24" s="28" t="s">
        <v>781</v>
      </c>
      <c r="Q24" s="28" t="s">
        <v>780</v>
      </c>
      <c r="R24" s="35" t="str">
        <f t="shared" ca="1" si="1"/>
        <v>48 tahun</v>
      </c>
      <c r="S24" s="35" t="str">
        <f t="shared" ca="1" si="2"/>
        <v>11 bulan</v>
      </c>
      <c r="T24" s="35" t="str">
        <f t="shared" ca="1" si="3"/>
        <v>0 hari</v>
      </c>
      <c r="U24" s="36" t="str">
        <f ca="1">DATEDIF(G24,$A$2,"Y")&amp;" tahun, "&amp;DATEDIF(G24,$A$2,"Ym")&amp;" bulan"</f>
        <v>10 tahun, 5 bulan</v>
      </c>
      <c r="V24" s="37">
        <f t="shared" si="4"/>
        <v>49553</v>
      </c>
    </row>
    <row r="25" spans="1:22" s="38" customFormat="1" ht="14.55" customHeight="1">
      <c r="A25" s="26">
        <v>22</v>
      </c>
      <c r="B25" s="27" t="s">
        <v>20</v>
      </c>
      <c r="C25" s="29" t="s">
        <v>21</v>
      </c>
      <c r="D25" s="28" t="s">
        <v>182</v>
      </c>
      <c r="E25" s="29" t="s">
        <v>950</v>
      </c>
      <c r="F25" s="29" t="s">
        <v>481</v>
      </c>
      <c r="G25" s="40">
        <v>34394</v>
      </c>
      <c r="H25" s="29" t="str">
        <f>VLOOKUP(I25,Sheet1!$A$4:$B$20,2,0)</f>
        <v>Penata Muda Tk.I (Gol. III/b)</v>
      </c>
      <c r="I25" s="28" t="s">
        <v>373</v>
      </c>
      <c r="J25" s="30">
        <v>42826</v>
      </c>
      <c r="K25" s="31"/>
      <c r="L25" s="32" t="str">
        <f t="shared" ca="1" si="0"/>
        <v>9 tahun, 3 bulan</v>
      </c>
      <c r="M25" s="30" t="s">
        <v>528</v>
      </c>
      <c r="N25" s="30" t="s">
        <v>1</v>
      </c>
      <c r="O25" s="30">
        <v>27039</v>
      </c>
      <c r="P25" s="28" t="s">
        <v>564</v>
      </c>
      <c r="Q25" s="28" t="s">
        <v>563</v>
      </c>
      <c r="R25" s="35" t="str">
        <f t="shared" ca="1" si="1"/>
        <v>52 tahun</v>
      </c>
      <c r="S25" s="35" t="str">
        <f t="shared" ca="1" si="2"/>
        <v>6 bulan</v>
      </c>
      <c r="T25" s="35" t="str">
        <f t="shared" ca="1" si="3"/>
        <v>19 hari</v>
      </c>
      <c r="U25" s="36" t="str">
        <f ca="1">DATEDIF(G25,$A$2,"Y")&amp;" tahun, "&amp;DATEDIF(G25,$A$2,"Ym")&amp;" bulan"</f>
        <v>32 tahun, 4 bulan</v>
      </c>
      <c r="V25" s="37">
        <f t="shared" si="4"/>
        <v>48245</v>
      </c>
    </row>
    <row r="26" spans="1:22" s="38" customFormat="1" ht="14.55" customHeight="1">
      <c r="A26" s="26">
        <v>23</v>
      </c>
      <c r="B26" s="27" t="s">
        <v>22</v>
      </c>
      <c r="C26" s="29" t="s">
        <v>343</v>
      </c>
      <c r="D26" s="28" t="s">
        <v>182</v>
      </c>
      <c r="E26" s="29" t="s">
        <v>524</v>
      </c>
      <c r="F26" s="29" t="s">
        <v>481</v>
      </c>
      <c r="G26" s="40">
        <v>39722</v>
      </c>
      <c r="H26" s="29" t="str">
        <f>VLOOKUP(I26,Sheet1!$A$4:$B$20,2,0)</f>
        <v>Penata Tk.I (Gol. III/d)</v>
      </c>
      <c r="I26" s="28" t="s">
        <v>372</v>
      </c>
      <c r="J26" s="30">
        <v>44835</v>
      </c>
      <c r="K26" s="31"/>
      <c r="L26" s="32" t="str">
        <f t="shared" ca="1" si="0"/>
        <v>3 tahun, 9 bulan</v>
      </c>
      <c r="M26" s="30" t="s">
        <v>528</v>
      </c>
      <c r="N26" s="30" t="s">
        <v>1</v>
      </c>
      <c r="O26" s="30">
        <v>26853</v>
      </c>
      <c r="P26" s="28" t="s">
        <v>566</v>
      </c>
      <c r="Q26" s="28" t="s">
        <v>565</v>
      </c>
      <c r="R26" s="35" t="str">
        <f t="shared" ca="1" si="1"/>
        <v>53 tahun</v>
      </c>
      <c r="S26" s="35" t="str">
        <f t="shared" ca="1" si="2"/>
        <v>0 bulan</v>
      </c>
      <c r="T26" s="35" t="str">
        <f t="shared" ca="1" si="3"/>
        <v>21 hari</v>
      </c>
      <c r="U26" s="36" t="str">
        <f ca="1">DATEDIF(G26,$A$2,"Y")&amp;" tahun, "&amp;DATEDIF(G26,$A$2,"Ym")&amp;" bulan"</f>
        <v>17 tahun, 9 bulan</v>
      </c>
      <c r="V26" s="37">
        <f t="shared" si="4"/>
        <v>48061</v>
      </c>
    </row>
    <row r="27" spans="1:22" s="38" customFormat="1" ht="14.55" customHeight="1">
      <c r="A27" s="26">
        <v>24</v>
      </c>
      <c r="B27" s="27" t="s">
        <v>23</v>
      </c>
      <c r="C27" s="29" t="s">
        <v>24</v>
      </c>
      <c r="D27" s="28" t="s">
        <v>182</v>
      </c>
      <c r="E27" s="29" t="s">
        <v>401</v>
      </c>
      <c r="F27" s="29" t="s">
        <v>183</v>
      </c>
      <c r="G27" s="40">
        <v>40087</v>
      </c>
      <c r="H27" s="29" t="str">
        <f>VLOOKUP(I27,Sheet1!$A$4:$B$20,2,0)</f>
        <v>Pengatur Tk. I (Gol. II/d)</v>
      </c>
      <c r="I27" s="28" t="s">
        <v>370</v>
      </c>
      <c r="J27" s="30">
        <v>45017</v>
      </c>
      <c r="K27" s="31"/>
      <c r="L27" s="32" t="str">
        <f t="shared" ca="1" si="0"/>
        <v>3 tahun, 3 bulan</v>
      </c>
      <c r="M27" s="30" t="s">
        <v>527</v>
      </c>
      <c r="N27" s="30" t="s">
        <v>426</v>
      </c>
      <c r="O27" s="30">
        <v>30540</v>
      </c>
      <c r="P27" s="28" t="s">
        <v>568</v>
      </c>
      <c r="Q27" s="28" t="s">
        <v>567</v>
      </c>
      <c r="R27" s="35" t="str">
        <f t="shared" ca="1" si="1"/>
        <v>42 tahun</v>
      </c>
      <c r="S27" s="35" t="str">
        <f t="shared" ca="1" si="2"/>
        <v>11 bulan</v>
      </c>
      <c r="T27" s="35" t="str">
        <f t="shared" ca="1" si="3"/>
        <v>17 hari</v>
      </c>
      <c r="U27" s="36" t="str">
        <f ca="1">DATEDIF(G27,$A$2,"Y")&amp;" tahun, "&amp;DATEDIF(G27,$A$2,"Ym")&amp;" bulan"</f>
        <v>16 tahun, 9 bulan</v>
      </c>
      <c r="V27" s="37">
        <f t="shared" si="4"/>
        <v>51745</v>
      </c>
    </row>
    <row r="28" spans="1:22" s="38" customFormat="1" ht="14.55" customHeight="1">
      <c r="A28" s="26">
        <v>25</v>
      </c>
      <c r="B28" s="27" t="s">
        <v>25</v>
      </c>
      <c r="C28" s="29" t="s">
        <v>26</v>
      </c>
      <c r="D28" s="28" t="s">
        <v>182</v>
      </c>
      <c r="E28" s="29" t="s">
        <v>959</v>
      </c>
      <c r="F28" s="29" t="s">
        <v>183</v>
      </c>
      <c r="G28" s="40">
        <v>41883</v>
      </c>
      <c r="H28" s="29" t="str">
        <f>VLOOKUP(I28,Sheet1!$A$4:$B$20,2,0)</f>
        <v>Pengatur (Gol. II/c)</v>
      </c>
      <c r="I28" s="28" t="s">
        <v>369</v>
      </c>
      <c r="J28" s="30">
        <v>44835</v>
      </c>
      <c r="K28" s="31"/>
      <c r="L28" s="32" t="str">
        <f t="shared" ca="1" si="0"/>
        <v>3 tahun, 9 bulan</v>
      </c>
      <c r="M28" s="30" t="s">
        <v>527</v>
      </c>
      <c r="N28" s="30" t="s">
        <v>1</v>
      </c>
      <c r="O28" s="30">
        <v>30679</v>
      </c>
      <c r="P28" s="28" t="s">
        <v>570</v>
      </c>
      <c r="Q28" s="28" t="s">
        <v>569</v>
      </c>
      <c r="R28" s="35" t="str">
        <f t="shared" ca="1" si="1"/>
        <v>42 tahun</v>
      </c>
      <c r="S28" s="35" t="str">
        <f t="shared" ca="1" si="2"/>
        <v>7 bulan</v>
      </c>
      <c r="T28" s="35" t="str">
        <f t="shared" ca="1" si="3"/>
        <v>0 hari</v>
      </c>
      <c r="U28" s="36" t="str">
        <f ca="1">DATEDIF(G28,$A$2,"Y")&amp;" tahun, "&amp;DATEDIF(G28,$A$2,"Ym")&amp;" bulan"</f>
        <v>11 tahun, 10 bulan</v>
      </c>
      <c r="V28" s="37">
        <f t="shared" si="4"/>
        <v>51867</v>
      </c>
    </row>
    <row r="29" spans="1:22" s="38" customFormat="1" ht="14.55" customHeight="1">
      <c r="A29" s="26">
        <v>26</v>
      </c>
      <c r="B29" s="27" t="s">
        <v>27</v>
      </c>
      <c r="C29" s="29" t="s">
        <v>28</v>
      </c>
      <c r="D29" s="28" t="s">
        <v>182</v>
      </c>
      <c r="E29" s="29" t="s">
        <v>956</v>
      </c>
      <c r="F29" s="29" t="s">
        <v>183</v>
      </c>
      <c r="G29" s="40">
        <v>40087</v>
      </c>
      <c r="H29" s="29" t="str">
        <f>VLOOKUP(I29,Sheet1!$A$4:$B$20,2,0)</f>
        <v>Pengatur Tk. I (Gol. II/d)</v>
      </c>
      <c r="I29" s="28" t="s">
        <v>370</v>
      </c>
      <c r="J29" s="30">
        <v>45017</v>
      </c>
      <c r="K29" s="31"/>
      <c r="L29" s="32" t="str">
        <f t="shared" ca="1" si="0"/>
        <v>3 tahun, 3 bulan</v>
      </c>
      <c r="M29" s="30" t="s">
        <v>527</v>
      </c>
      <c r="N29" s="30" t="s">
        <v>1</v>
      </c>
      <c r="O29" s="30">
        <v>29295</v>
      </c>
      <c r="P29" s="28" t="s">
        <v>572</v>
      </c>
      <c r="Q29" s="28" t="s">
        <v>571</v>
      </c>
      <c r="R29" s="35" t="str">
        <f t="shared" ca="1" si="1"/>
        <v>46 tahun</v>
      </c>
      <c r="S29" s="35" t="str">
        <f t="shared" ca="1" si="2"/>
        <v>4 bulan</v>
      </c>
      <c r="T29" s="35" t="str">
        <f t="shared" ca="1" si="3"/>
        <v>14 hari</v>
      </c>
      <c r="U29" s="36" t="str">
        <f ca="1">DATEDIF(G29,$A$2,"Y")&amp;" tahun, "&amp;DATEDIF(G29,$A$2,"Ym")&amp;" bulan"</f>
        <v>16 tahun, 9 bulan</v>
      </c>
      <c r="V29" s="37">
        <f t="shared" si="4"/>
        <v>50496</v>
      </c>
    </row>
    <row r="30" spans="1:22" s="38" customFormat="1" ht="14.55" customHeight="1">
      <c r="A30" s="26">
        <v>27</v>
      </c>
      <c r="B30" s="27" t="s">
        <v>29</v>
      </c>
      <c r="C30" s="29" t="s">
        <v>30</v>
      </c>
      <c r="D30" s="28" t="s">
        <v>182</v>
      </c>
      <c r="E30" s="29" t="s">
        <v>395</v>
      </c>
      <c r="F30" s="29" t="s">
        <v>183</v>
      </c>
      <c r="G30" s="40">
        <v>41883</v>
      </c>
      <c r="H30" s="29" t="str">
        <f>VLOOKUP(I30,Sheet1!$A$4:$B$20,2,0)</f>
        <v>Pengatur (Gol. II/c)</v>
      </c>
      <c r="I30" s="28" t="s">
        <v>369</v>
      </c>
      <c r="J30" s="30">
        <v>44835</v>
      </c>
      <c r="K30" s="31"/>
      <c r="L30" s="32" t="str">
        <f t="shared" ca="1" si="0"/>
        <v>3 tahun, 9 bulan</v>
      </c>
      <c r="M30" s="30" t="s">
        <v>527</v>
      </c>
      <c r="N30" s="30" t="s">
        <v>427</v>
      </c>
      <c r="O30" s="30">
        <v>26042</v>
      </c>
      <c r="P30" s="28" t="s">
        <v>574</v>
      </c>
      <c r="Q30" s="28" t="s">
        <v>573</v>
      </c>
      <c r="R30" s="35" t="str">
        <f t="shared" ca="1" si="1"/>
        <v>55 tahun</v>
      </c>
      <c r="S30" s="35" t="str">
        <f t="shared" ca="1" si="2"/>
        <v>3 bulan</v>
      </c>
      <c r="T30" s="35" t="str">
        <f t="shared" ca="1" si="3"/>
        <v>10 hari</v>
      </c>
      <c r="U30" s="36" t="str">
        <f ca="1">DATEDIF(G30,$A$2,"Y")&amp;" tahun, "&amp;DATEDIF(G30,$A$2,"Ym")&amp;" bulan"</f>
        <v>11 tahun, 10 bulan</v>
      </c>
      <c r="V30" s="37">
        <f t="shared" si="4"/>
        <v>47239</v>
      </c>
    </row>
    <row r="31" spans="1:22" s="38" customFormat="1" ht="14.55" customHeight="1">
      <c r="A31" s="26">
        <v>28</v>
      </c>
      <c r="B31" s="27" t="s">
        <v>390</v>
      </c>
      <c r="C31" s="29" t="s">
        <v>391</v>
      </c>
      <c r="D31" s="28" t="s">
        <v>182</v>
      </c>
      <c r="E31" s="29" t="s">
        <v>395</v>
      </c>
      <c r="F31" s="29" t="s">
        <v>183</v>
      </c>
      <c r="G31" s="40">
        <v>39083</v>
      </c>
      <c r="H31" s="29" t="str">
        <f>VLOOKUP(I31,Sheet1!$A$4:$B$20,2,0)</f>
        <v>Penata Muda (Gol. III/a)</v>
      </c>
      <c r="I31" s="28" t="s">
        <v>367</v>
      </c>
      <c r="J31" s="30">
        <v>46054</v>
      </c>
      <c r="K31" s="31" t="s">
        <v>967</v>
      </c>
      <c r="L31" s="32" t="str">
        <f t="shared" ca="1" si="0"/>
        <v>0 tahun, 5 bulan</v>
      </c>
      <c r="M31" s="30" t="s">
        <v>527</v>
      </c>
      <c r="N31" s="30" t="s">
        <v>1</v>
      </c>
      <c r="O31" s="30">
        <v>25792</v>
      </c>
      <c r="P31" s="43" t="s">
        <v>576</v>
      </c>
      <c r="Q31" s="43" t="s">
        <v>575</v>
      </c>
      <c r="R31" s="35" t="str">
        <f t="shared" ca="1" si="1"/>
        <v>55 tahun</v>
      </c>
      <c r="S31" s="35" t="str">
        <f t="shared" ca="1" si="2"/>
        <v>11 bulan</v>
      </c>
      <c r="T31" s="35" t="str">
        <f t="shared" ca="1" si="3"/>
        <v>17 hari</v>
      </c>
      <c r="U31" s="36" t="str">
        <f ca="1">DATEDIF(G31,$A$2,"Y")&amp;" tahun, "&amp;DATEDIF(G31,$A$2,"Ym")&amp;" bulan"</f>
        <v>19 tahun, 6 bulan</v>
      </c>
      <c r="V31" s="37">
        <f t="shared" si="4"/>
        <v>46997</v>
      </c>
    </row>
    <row r="32" spans="1:22" s="38" customFormat="1" ht="14.55" customHeight="1">
      <c r="A32" s="26">
        <v>29</v>
      </c>
      <c r="B32" s="27" t="s">
        <v>31</v>
      </c>
      <c r="C32" s="29" t="s">
        <v>32</v>
      </c>
      <c r="D32" s="28" t="s">
        <v>182</v>
      </c>
      <c r="E32" s="29" t="s">
        <v>392</v>
      </c>
      <c r="F32" s="29" t="s">
        <v>183</v>
      </c>
      <c r="G32" s="40">
        <v>40087</v>
      </c>
      <c r="H32" s="29" t="str">
        <f>VLOOKUP(I32,Sheet1!$A$4:$B$20,2,0)</f>
        <v>Penata Muda (Gol. III/a)</v>
      </c>
      <c r="I32" s="28" t="s">
        <v>367</v>
      </c>
      <c r="J32" s="30">
        <v>45931</v>
      </c>
      <c r="K32" s="31" t="s">
        <v>940</v>
      </c>
      <c r="L32" s="32" t="str">
        <f t="shared" ca="1" si="0"/>
        <v>0 tahun, 9 bulan</v>
      </c>
      <c r="M32" s="30" t="s">
        <v>527</v>
      </c>
      <c r="N32" s="30" t="s">
        <v>1</v>
      </c>
      <c r="O32" s="30">
        <v>25541</v>
      </c>
      <c r="P32" s="28" t="s">
        <v>578</v>
      </c>
      <c r="Q32" s="28" t="s">
        <v>577</v>
      </c>
      <c r="R32" s="35" t="str">
        <f t="shared" ca="1" si="1"/>
        <v>56 tahun</v>
      </c>
      <c r="S32" s="35" t="str">
        <f t="shared" ca="1" si="2"/>
        <v>7 bulan</v>
      </c>
      <c r="T32" s="35" t="str">
        <f t="shared" ca="1" si="3"/>
        <v>25 hari</v>
      </c>
      <c r="U32" s="36" t="str">
        <f ca="1">DATEDIF(G32,$A$2,"Y")&amp;" tahun, "&amp;DATEDIF(G32,$A$2,"Ym")&amp;" bulan"</f>
        <v>16 tahun, 9 bulan</v>
      </c>
      <c r="V32" s="37">
        <f t="shared" si="4"/>
        <v>46753</v>
      </c>
    </row>
    <row r="33" spans="1:22" s="38" customFormat="1" ht="14.55" customHeight="1">
      <c r="A33" s="26">
        <v>30</v>
      </c>
      <c r="B33" s="27" t="s">
        <v>33</v>
      </c>
      <c r="C33" s="29" t="s">
        <v>345</v>
      </c>
      <c r="D33" s="28" t="s">
        <v>182</v>
      </c>
      <c r="E33" s="29" t="s">
        <v>964</v>
      </c>
      <c r="F33" s="29" t="s">
        <v>183</v>
      </c>
      <c r="G33" s="40">
        <v>39722</v>
      </c>
      <c r="H33" s="29" t="str">
        <f>VLOOKUP(I33,Sheet1!$A$4:$B$20,2,0)</f>
        <v>Penata (Gol. III/c)</v>
      </c>
      <c r="I33" s="28" t="s">
        <v>374</v>
      </c>
      <c r="J33" s="30">
        <v>46174</v>
      </c>
      <c r="K33" s="31" t="s">
        <v>991</v>
      </c>
      <c r="L33" s="32" t="str">
        <f t="shared" ca="1" si="0"/>
        <v>0 tahun, 1 bulan</v>
      </c>
      <c r="M33" s="30" t="s">
        <v>527</v>
      </c>
      <c r="N33" s="30" t="s">
        <v>1</v>
      </c>
      <c r="O33" s="30">
        <v>29324</v>
      </c>
      <c r="P33" s="28" t="s">
        <v>580</v>
      </c>
      <c r="Q33" s="28" t="s">
        <v>579</v>
      </c>
      <c r="R33" s="35" t="str">
        <f t="shared" ca="1" si="1"/>
        <v>46 tahun</v>
      </c>
      <c r="S33" s="35" t="str">
        <f t="shared" ca="1" si="2"/>
        <v>3 bulan</v>
      </c>
      <c r="T33" s="35" t="str">
        <f t="shared" ca="1" si="3"/>
        <v>16 hari</v>
      </c>
      <c r="U33" s="36" t="str">
        <f ca="1">DATEDIF(G33,$A$2,"Y")&amp;" tahun, "&amp;DATEDIF(G33,$A$2,"Ym")&amp;" bulan"</f>
        <v>17 tahun, 9 bulan</v>
      </c>
      <c r="V33" s="37">
        <f t="shared" si="4"/>
        <v>50526</v>
      </c>
    </row>
    <row r="34" spans="1:22" s="38" customFormat="1" ht="14.55" customHeight="1">
      <c r="A34" s="26">
        <v>31</v>
      </c>
      <c r="B34" s="27" t="s">
        <v>34</v>
      </c>
      <c r="C34" s="29" t="s">
        <v>35</v>
      </c>
      <c r="D34" s="28" t="s">
        <v>182</v>
      </c>
      <c r="E34" s="29" t="s">
        <v>395</v>
      </c>
      <c r="F34" s="29" t="s">
        <v>183</v>
      </c>
      <c r="G34" s="40">
        <v>39356</v>
      </c>
      <c r="H34" s="29" t="str">
        <f>VLOOKUP(I34,Sheet1!$A$4:$B$20,2,0)</f>
        <v>Penata Muda (Gol. III/a)</v>
      </c>
      <c r="I34" s="33" t="s">
        <v>367</v>
      </c>
      <c r="J34" s="30">
        <v>45566</v>
      </c>
      <c r="K34" s="31" t="s">
        <v>516</v>
      </c>
      <c r="L34" s="32" t="str">
        <f t="shared" ca="1" si="0"/>
        <v>1 tahun, 9 bulan</v>
      </c>
      <c r="M34" s="30" t="s">
        <v>527</v>
      </c>
      <c r="N34" s="30" t="s">
        <v>428</v>
      </c>
      <c r="O34" s="30">
        <v>27037</v>
      </c>
      <c r="P34" s="28" t="s">
        <v>582</v>
      </c>
      <c r="Q34" s="28" t="s">
        <v>581</v>
      </c>
      <c r="R34" s="35" t="str">
        <f t="shared" ca="1" si="1"/>
        <v>52 tahun</v>
      </c>
      <c r="S34" s="35" t="str">
        <f t="shared" ca="1" si="2"/>
        <v>6 bulan</v>
      </c>
      <c r="T34" s="35" t="str">
        <f t="shared" ca="1" si="3"/>
        <v>21 hari</v>
      </c>
      <c r="U34" s="36" t="str">
        <f ca="1">DATEDIF(G34,$A$2,"Y")&amp;" tahun, "&amp;DATEDIF(G34,$A$2,"Ym")&amp;" bulan"</f>
        <v>18 tahun, 9 bulan</v>
      </c>
      <c r="V34" s="37">
        <f t="shared" si="4"/>
        <v>48245</v>
      </c>
    </row>
    <row r="35" spans="1:22" s="38" customFormat="1" ht="14.55" customHeight="1">
      <c r="A35" s="26">
        <v>32</v>
      </c>
      <c r="B35" s="27" t="s">
        <v>313</v>
      </c>
      <c r="C35" s="29" t="s">
        <v>314</v>
      </c>
      <c r="D35" s="28" t="s">
        <v>186</v>
      </c>
      <c r="E35" s="29" t="s">
        <v>948</v>
      </c>
      <c r="F35" s="29" t="s">
        <v>485</v>
      </c>
      <c r="G35" s="40">
        <v>42401</v>
      </c>
      <c r="H35" s="29" t="str">
        <f>VLOOKUP(I35,Sheet1!$A$4:$B$20,2,0)</f>
        <v>Penata Muda Tk.I (Gol. III/b)</v>
      </c>
      <c r="I35" s="28" t="s">
        <v>373</v>
      </c>
      <c r="J35" s="30">
        <v>46113</v>
      </c>
      <c r="K35" s="31" t="s">
        <v>986</v>
      </c>
      <c r="L35" s="32" t="str">
        <f t="shared" ca="1" si="0"/>
        <v>0 tahun, 3 bulan</v>
      </c>
      <c r="M35" s="30" t="s">
        <v>528</v>
      </c>
      <c r="N35" s="30" t="s">
        <v>1</v>
      </c>
      <c r="O35" s="30">
        <v>31997</v>
      </c>
      <c r="P35" s="28" t="s">
        <v>783</v>
      </c>
      <c r="Q35" s="28" t="s">
        <v>782</v>
      </c>
      <c r="R35" s="35" t="str">
        <f t="shared" ca="1" si="1"/>
        <v>38 tahun</v>
      </c>
      <c r="S35" s="35" t="str">
        <f t="shared" ca="1" si="2"/>
        <v>11 bulan</v>
      </c>
      <c r="T35" s="35" t="str">
        <f t="shared" ca="1" si="3"/>
        <v>21 hari</v>
      </c>
      <c r="U35" s="36" t="str">
        <f ca="1">DATEDIF(G35,$A$2,"Y")&amp;" tahun, "&amp;DATEDIF(G35,$A$2,"Ym")&amp;" bulan"</f>
        <v>10 tahun, 5 bulan</v>
      </c>
      <c r="V35" s="37">
        <f t="shared" si="4"/>
        <v>53206</v>
      </c>
    </row>
    <row r="36" spans="1:22" s="38" customFormat="1" ht="14.55" customHeight="1">
      <c r="A36" s="26">
        <v>33</v>
      </c>
      <c r="B36" s="27" t="s">
        <v>36</v>
      </c>
      <c r="C36" s="29" t="s">
        <v>256</v>
      </c>
      <c r="D36" s="28" t="s">
        <v>182</v>
      </c>
      <c r="E36" s="29" t="s">
        <v>401</v>
      </c>
      <c r="F36" s="29" t="s">
        <v>183</v>
      </c>
      <c r="G36" s="40">
        <v>40087</v>
      </c>
      <c r="H36" s="29" t="str">
        <f>VLOOKUP(I36,Sheet1!$A$4:$B$20,2,0)</f>
        <v>Penata Muda Tk.I (Gol. III/b)</v>
      </c>
      <c r="I36" s="28" t="s">
        <v>373</v>
      </c>
      <c r="J36" s="30">
        <v>45017</v>
      </c>
      <c r="K36" s="31" t="s">
        <v>496</v>
      </c>
      <c r="L36" s="32" t="str">
        <f t="shared" ref="L36:L67" ca="1" si="5">DATEDIF(J36,$A$2,"Y")&amp;" tahun, "&amp;DATEDIF(J36,$A$2,"YM")&amp;" bulan"</f>
        <v>3 tahun, 3 bulan</v>
      </c>
      <c r="M36" s="30" t="s">
        <v>528</v>
      </c>
      <c r="N36" s="30" t="s">
        <v>425</v>
      </c>
      <c r="O36" s="30">
        <v>28565</v>
      </c>
      <c r="P36" s="28" t="s">
        <v>584</v>
      </c>
      <c r="Q36" s="28" t="s">
        <v>583</v>
      </c>
      <c r="R36" s="35" t="str">
        <f t="shared" ref="R36:R67" ca="1" si="6">DATEDIF(O36,$A$2,"Y")&amp;" tahun"</f>
        <v>48 tahun</v>
      </c>
      <c r="S36" s="35" t="str">
        <f t="shared" ref="S36:S67" ca="1" si="7">DATEDIF(O36,$A$2,"YM")&amp;" bulan"</f>
        <v>4 bulan</v>
      </c>
      <c r="T36" s="35" t="str">
        <f t="shared" ref="T36:T67" ca="1" si="8">DATEDIF(O36,$A$2,"MD")&amp;" hari"</f>
        <v>13 hari</v>
      </c>
      <c r="U36" s="36" t="str">
        <f ca="1">DATEDIF(G36,$A$2,"Y")&amp;" tahun, "&amp;DATEDIF(G36,$A$2,"Ym")&amp;" bulan"</f>
        <v>16 tahun, 9 bulan</v>
      </c>
      <c r="V36" s="37">
        <f t="shared" ref="V36:V67" si="9">DATE(YEAR(O36)+58,MONTH(O36)+1,1)</f>
        <v>49766</v>
      </c>
    </row>
    <row r="37" spans="1:22" s="38" customFormat="1" ht="14.55" customHeight="1">
      <c r="A37" s="26">
        <v>34</v>
      </c>
      <c r="B37" s="27" t="s">
        <v>37</v>
      </c>
      <c r="C37" s="29" t="s">
        <v>38</v>
      </c>
      <c r="D37" s="28" t="s">
        <v>182</v>
      </c>
      <c r="E37" s="29" t="s">
        <v>395</v>
      </c>
      <c r="F37" s="29" t="s">
        <v>183</v>
      </c>
      <c r="G37" s="40">
        <v>39083</v>
      </c>
      <c r="H37" s="29" t="str">
        <f>VLOOKUP(I37,Sheet1!$A$4:$B$20,2,0)</f>
        <v>Pengatur Tk. I (Gol. II/d)</v>
      </c>
      <c r="I37" s="28" t="s">
        <v>370</v>
      </c>
      <c r="J37" s="30">
        <v>46174</v>
      </c>
      <c r="K37" s="31" t="s">
        <v>992</v>
      </c>
      <c r="L37" s="32" t="str">
        <f t="shared" ca="1" si="5"/>
        <v>0 tahun, 1 bulan</v>
      </c>
      <c r="M37" s="30" t="s">
        <v>527</v>
      </c>
      <c r="N37" s="30" t="s">
        <v>421</v>
      </c>
      <c r="O37" s="30">
        <v>26929</v>
      </c>
      <c r="P37" s="43" t="s">
        <v>917</v>
      </c>
      <c r="Q37" s="43" t="s">
        <v>585</v>
      </c>
      <c r="R37" s="35" t="str">
        <f t="shared" ca="1" si="6"/>
        <v>52 tahun</v>
      </c>
      <c r="S37" s="35" t="str">
        <f t="shared" ca="1" si="7"/>
        <v>10 bulan</v>
      </c>
      <c r="T37" s="35" t="str">
        <f t="shared" ca="1" si="8"/>
        <v>7 hari</v>
      </c>
      <c r="U37" s="36" t="str">
        <f ca="1">DATEDIF(G37,$A$2,"Y")&amp;" tahun, "&amp;DATEDIF(G37,$A$2,"Ym")&amp;" bulan"</f>
        <v>19 tahun, 6 bulan</v>
      </c>
      <c r="V37" s="37">
        <f t="shared" si="9"/>
        <v>48122</v>
      </c>
    </row>
    <row r="38" spans="1:22" s="38" customFormat="1" ht="14.55" customHeight="1">
      <c r="A38" s="26">
        <v>35</v>
      </c>
      <c r="B38" s="27" t="s">
        <v>531</v>
      </c>
      <c r="C38" s="29" t="s">
        <v>895</v>
      </c>
      <c r="D38" s="28" t="s">
        <v>186</v>
      </c>
      <c r="E38" s="29" t="s">
        <v>947</v>
      </c>
      <c r="F38" s="29" t="s">
        <v>485</v>
      </c>
      <c r="G38" s="40">
        <v>45505</v>
      </c>
      <c r="H38" s="29" t="str">
        <f>VLOOKUP(I38,Sheet1!$A$4:$B$20,2,0)</f>
        <v>Pengatur (Gol. II/c)</v>
      </c>
      <c r="I38" s="28" t="s">
        <v>369</v>
      </c>
      <c r="J38" s="28" t="s">
        <v>882</v>
      </c>
      <c r="K38" s="31"/>
      <c r="L38" s="32" t="str">
        <f t="shared" ca="1" si="5"/>
        <v>1 tahun, 11 bulan</v>
      </c>
      <c r="M38" s="30" t="s">
        <v>528</v>
      </c>
      <c r="N38" s="30" t="s">
        <v>884</v>
      </c>
      <c r="O38" s="30">
        <v>36887</v>
      </c>
      <c r="P38" s="28" t="s">
        <v>885</v>
      </c>
      <c r="Q38" s="28"/>
      <c r="R38" s="35" t="str">
        <f t="shared" ca="1" si="6"/>
        <v>25 tahun</v>
      </c>
      <c r="S38" s="35" t="str">
        <f t="shared" ca="1" si="7"/>
        <v>7 bulan</v>
      </c>
      <c r="T38" s="35" t="str">
        <f t="shared" ca="1" si="8"/>
        <v>2 hari</v>
      </c>
      <c r="U38" s="36" t="str">
        <f ca="1">DATEDIF(G38,$A$2,"Y")&amp;" tahun, "&amp;DATEDIF(G38,$A$2,"Ym")&amp;" bulan"</f>
        <v>1 tahun, 11 bulan</v>
      </c>
      <c r="V38" s="37">
        <f t="shared" si="9"/>
        <v>58076</v>
      </c>
    </row>
    <row r="39" spans="1:22" s="38" customFormat="1" ht="14.55" customHeight="1">
      <c r="A39" s="26">
        <v>36</v>
      </c>
      <c r="B39" s="27" t="s">
        <v>335</v>
      </c>
      <c r="C39" s="29" t="s">
        <v>336</v>
      </c>
      <c r="D39" s="28" t="s">
        <v>186</v>
      </c>
      <c r="E39" s="29" t="s">
        <v>398</v>
      </c>
      <c r="F39" s="29" t="s">
        <v>187</v>
      </c>
      <c r="G39" s="40">
        <v>42401</v>
      </c>
      <c r="H39" s="29" t="str">
        <f>VLOOKUP(I39,Sheet1!$A$4:$B$20,2,0)</f>
        <v>Pengatur (Gol. II/c)</v>
      </c>
      <c r="I39" s="33" t="s">
        <v>369</v>
      </c>
      <c r="J39" s="30">
        <v>45748</v>
      </c>
      <c r="K39" s="31" t="s">
        <v>911</v>
      </c>
      <c r="L39" s="32" t="str">
        <f t="shared" ca="1" si="5"/>
        <v>1 tahun, 3 bulan</v>
      </c>
      <c r="M39" s="30" t="s">
        <v>527</v>
      </c>
      <c r="N39" s="30" t="s">
        <v>1</v>
      </c>
      <c r="O39" s="30">
        <v>27814</v>
      </c>
      <c r="P39" s="28" t="s">
        <v>785</v>
      </c>
      <c r="Q39" s="28" t="s">
        <v>784</v>
      </c>
      <c r="R39" s="35" t="str">
        <f t="shared" ca="1" si="6"/>
        <v>50 tahun</v>
      </c>
      <c r="S39" s="35" t="str">
        <f t="shared" ca="1" si="7"/>
        <v>5 bulan</v>
      </c>
      <c r="T39" s="35" t="str">
        <f t="shared" ca="1" si="8"/>
        <v>5 hari</v>
      </c>
      <c r="U39" s="36" t="str">
        <f ca="1">DATEDIF(G39,$A$2,"Y")&amp;" tahun, "&amp;DATEDIF(G39,$A$2,"Ym")&amp;" bulan"</f>
        <v>10 tahun, 5 bulan</v>
      </c>
      <c r="V39" s="37">
        <f t="shared" si="9"/>
        <v>49004</v>
      </c>
    </row>
    <row r="40" spans="1:22" s="38" customFormat="1" ht="14.55" customHeight="1">
      <c r="A40" s="26">
        <v>37</v>
      </c>
      <c r="B40" s="27" t="s">
        <v>532</v>
      </c>
      <c r="C40" s="29" t="s">
        <v>896</v>
      </c>
      <c r="D40" s="28" t="s">
        <v>186</v>
      </c>
      <c r="E40" s="29" t="s">
        <v>947</v>
      </c>
      <c r="F40" s="29" t="s">
        <v>485</v>
      </c>
      <c r="G40" s="40">
        <v>45505</v>
      </c>
      <c r="H40" s="29" t="str">
        <f>VLOOKUP(I40,Sheet1!$A$4:$B$20,2,0)</f>
        <v>Pengatur (Gol. II/c)</v>
      </c>
      <c r="I40" s="28" t="s">
        <v>369</v>
      </c>
      <c r="J40" s="28" t="s">
        <v>882</v>
      </c>
      <c r="K40" s="31"/>
      <c r="L40" s="32" t="str">
        <f t="shared" ca="1" si="5"/>
        <v>1 tahun, 11 bulan</v>
      </c>
      <c r="M40" s="30" t="s">
        <v>527</v>
      </c>
      <c r="N40" s="30" t="s">
        <v>886</v>
      </c>
      <c r="O40" s="30">
        <v>36815</v>
      </c>
      <c r="P40" s="28" t="s">
        <v>887</v>
      </c>
      <c r="Q40" s="28"/>
      <c r="R40" s="35" t="str">
        <f t="shared" ca="1" si="6"/>
        <v>25 tahun</v>
      </c>
      <c r="S40" s="35" t="str">
        <f t="shared" ca="1" si="7"/>
        <v>9 bulan</v>
      </c>
      <c r="T40" s="35" t="str">
        <f t="shared" ca="1" si="8"/>
        <v>13 hari</v>
      </c>
      <c r="U40" s="36" t="str">
        <f ca="1">DATEDIF(G40,$A$2,"Y")&amp;" tahun, "&amp;DATEDIF(G40,$A$2,"Ym")&amp;" bulan"</f>
        <v>1 tahun, 11 bulan</v>
      </c>
      <c r="V40" s="37">
        <f t="shared" si="9"/>
        <v>58015</v>
      </c>
    </row>
    <row r="41" spans="1:22" s="38" customFormat="1" ht="14.55" customHeight="1">
      <c r="A41" s="26">
        <v>38</v>
      </c>
      <c r="B41" s="27" t="s">
        <v>39</v>
      </c>
      <c r="C41" s="29" t="s">
        <v>40</v>
      </c>
      <c r="D41" s="28" t="s">
        <v>182</v>
      </c>
      <c r="E41" s="29" t="s">
        <v>401</v>
      </c>
      <c r="F41" s="29" t="s">
        <v>183</v>
      </c>
      <c r="G41" s="40">
        <v>39356</v>
      </c>
      <c r="H41" s="29" t="str">
        <f>VLOOKUP(I41,Sheet1!$A$4:$B$20,2,0)</f>
        <v>Penata Muda (Gol. III/a)</v>
      </c>
      <c r="I41" s="33" t="s">
        <v>367</v>
      </c>
      <c r="J41" s="30">
        <v>46054</v>
      </c>
      <c r="K41" s="31" t="s">
        <v>506</v>
      </c>
      <c r="L41" s="32" t="str">
        <f t="shared" ca="1" si="5"/>
        <v>0 tahun, 5 bulan</v>
      </c>
      <c r="M41" s="30" t="s">
        <v>527</v>
      </c>
      <c r="N41" s="30" t="s">
        <v>1</v>
      </c>
      <c r="O41" s="30">
        <v>29858</v>
      </c>
      <c r="P41" s="28" t="s">
        <v>587</v>
      </c>
      <c r="Q41" s="28" t="s">
        <v>586</v>
      </c>
      <c r="R41" s="35" t="str">
        <f t="shared" ca="1" si="6"/>
        <v>44 tahun</v>
      </c>
      <c r="S41" s="35" t="str">
        <f t="shared" ca="1" si="7"/>
        <v>10 bulan</v>
      </c>
      <c r="T41" s="35" t="str">
        <f t="shared" ca="1" si="8"/>
        <v>0 hari</v>
      </c>
      <c r="U41" s="36" t="str">
        <f ca="1">DATEDIF(G41,$A$2,"Y")&amp;" tahun, "&amp;DATEDIF(G41,$A$2,"Ym")&amp;" bulan"</f>
        <v>18 tahun, 9 bulan</v>
      </c>
      <c r="V41" s="37">
        <f t="shared" si="9"/>
        <v>51044</v>
      </c>
    </row>
    <row r="42" spans="1:22" s="38" customFormat="1" ht="14.55" customHeight="1">
      <c r="A42" s="26">
        <v>39</v>
      </c>
      <c r="B42" s="27" t="s">
        <v>270</v>
      </c>
      <c r="C42" s="29" t="s">
        <v>271</v>
      </c>
      <c r="D42" s="28" t="s">
        <v>186</v>
      </c>
      <c r="E42" s="29" t="s">
        <v>395</v>
      </c>
      <c r="F42" s="29" t="s">
        <v>187</v>
      </c>
      <c r="G42" s="40">
        <v>42401</v>
      </c>
      <c r="H42" s="29" t="str">
        <f>VLOOKUP(I42,Sheet1!$A$4:$B$20,2,0)</f>
        <v>Pengatur (Gol. II/c)</v>
      </c>
      <c r="I42" s="33" t="s">
        <v>369</v>
      </c>
      <c r="J42" s="30">
        <v>45748</v>
      </c>
      <c r="K42" s="31" t="s">
        <v>518</v>
      </c>
      <c r="L42" s="32" t="str">
        <f t="shared" ca="1" si="5"/>
        <v>1 tahun, 3 bulan</v>
      </c>
      <c r="M42" s="30" t="s">
        <v>527</v>
      </c>
      <c r="N42" s="30" t="s">
        <v>421</v>
      </c>
      <c r="O42" s="30">
        <v>29452</v>
      </c>
      <c r="P42" s="28" t="s">
        <v>787</v>
      </c>
      <c r="Q42" s="28" t="s">
        <v>786</v>
      </c>
      <c r="R42" s="35" t="str">
        <f t="shared" ca="1" si="6"/>
        <v>45 tahun</v>
      </c>
      <c r="S42" s="35" t="str">
        <f t="shared" ca="1" si="7"/>
        <v>11 bulan</v>
      </c>
      <c r="T42" s="35" t="str">
        <f t="shared" ca="1" si="8"/>
        <v>10 hari</v>
      </c>
      <c r="U42" s="36" t="str">
        <f ca="1">DATEDIF(G42,$A$2,"Y")&amp;" tahun, "&amp;DATEDIF(G42,$A$2,"Ym")&amp;" bulan"</f>
        <v>10 tahun, 5 bulan</v>
      </c>
      <c r="V42" s="37">
        <f t="shared" si="9"/>
        <v>50649</v>
      </c>
    </row>
    <row r="43" spans="1:22" s="38" customFormat="1" ht="14.55" customHeight="1">
      <c r="A43" s="26">
        <v>40</v>
      </c>
      <c r="B43" s="27" t="s">
        <v>41</v>
      </c>
      <c r="C43" s="29" t="s">
        <v>296</v>
      </c>
      <c r="D43" s="28" t="s">
        <v>182</v>
      </c>
      <c r="E43" s="29" t="s">
        <v>402</v>
      </c>
      <c r="F43" s="29" t="s">
        <v>183</v>
      </c>
      <c r="G43" s="40">
        <v>39722</v>
      </c>
      <c r="H43" s="29" t="str">
        <f>VLOOKUP(I43,Sheet1!$A$4:$B$20,2,0)</f>
        <v>Penata Tk.I (Gol. III/d)</v>
      </c>
      <c r="I43" s="28" t="s">
        <v>372</v>
      </c>
      <c r="J43" s="30">
        <v>45748</v>
      </c>
      <c r="K43" s="31" t="s">
        <v>905</v>
      </c>
      <c r="L43" s="32" t="str">
        <f t="shared" ca="1" si="5"/>
        <v>1 tahun, 3 bulan</v>
      </c>
      <c r="M43" s="30" t="s">
        <v>528</v>
      </c>
      <c r="N43" s="30" t="s">
        <v>1</v>
      </c>
      <c r="O43" s="30">
        <v>26952</v>
      </c>
      <c r="P43" s="28" t="s">
        <v>589</v>
      </c>
      <c r="Q43" s="28" t="s">
        <v>588</v>
      </c>
      <c r="R43" s="35" t="str">
        <f t="shared" ca="1" si="6"/>
        <v>52 tahun</v>
      </c>
      <c r="S43" s="35" t="str">
        <f t="shared" ca="1" si="7"/>
        <v>9 bulan</v>
      </c>
      <c r="T43" s="35" t="str">
        <f t="shared" ca="1" si="8"/>
        <v>14 hari</v>
      </c>
      <c r="U43" s="36" t="str">
        <f ca="1">DATEDIF(G43,$A$2,"Y")&amp;" tahun, "&amp;DATEDIF(G43,$A$2,"Ym")&amp;" bulan"</f>
        <v>17 tahun, 9 bulan</v>
      </c>
      <c r="V43" s="37">
        <f t="shared" si="9"/>
        <v>48153</v>
      </c>
    </row>
    <row r="44" spans="1:22" s="38" customFormat="1" ht="14.55" customHeight="1">
      <c r="A44" s="26">
        <v>41</v>
      </c>
      <c r="B44" s="27" t="s">
        <v>42</v>
      </c>
      <c r="C44" s="29" t="s">
        <v>43</v>
      </c>
      <c r="D44" s="28" t="s">
        <v>182</v>
      </c>
      <c r="E44" s="29" t="s">
        <v>395</v>
      </c>
      <c r="F44" s="29" t="s">
        <v>183</v>
      </c>
      <c r="G44" s="40">
        <v>41883</v>
      </c>
      <c r="H44" s="29" t="str">
        <f>VLOOKUP(I44,Sheet1!$A$4:$B$20,2,0)</f>
        <v>Pengatur (Gol. II/c)</v>
      </c>
      <c r="I44" s="28" t="s">
        <v>369</v>
      </c>
      <c r="J44" s="30">
        <v>44835</v>
      </c>
      <c r="K44" s="31"/>
      <c r="L44" s="32" t="str">
        <f t="shared" ca="1" si="5"/>
        <v>3 tahun, 9 bulan</v>
      </c>
      <c r="M44" s="30" t="s">
        <v>527</v>
      </c>
      <c r="N44" s="30" t="s">
        <v>421</v>
      </c>
      <c r="O44" s="30">
        <v>25824</v>
      </c>
      <c r="P44" s="28" t="s">
        <v>591</v>
      </c>
      <c r="Q44" s="28" t="s">
        <v>590</v>
      </c>
      <c r="R44" s="35" t="str">
        <f t="shared" ca="1" si="6"/>
        <v>55 tahun</v>
      </c>
      <c r="S44" s="35" t="str">
        <f t="shared" ca="1" si="7"/>
        <v>10 bulan</v>
      </c>
      <c r="T44" s="35" t="str">
        <f t="shared" ca="1" si="8"/>
        <v>16 hari</v>
      </c>
      <c r="U44" s="36" t="str">
        <f ca="1">DATEDIF(G44,$A$2,"Y")&amp;" tahun, "&amp;DATEDIF(G44,$A$2,"Ym")&amp;" bulan"</f>
        <v>11 tahun, 10 bulan</v>
      </c>
      <c r="V44" s="37">
        <f t="shared" si="9"/>
        <v>47027</v>
      </c>
    </row>
    <row r="45" spans="1:22" s="38" customFormat="1" ht="14.55" customHeight="1">
      <c r="A45" s="26">
        <v>42</v>
      </c>
      <c r="B45" s="27" t="s">
        <v>44</v>
      </c>
      <c r="C45" s="29" t="s">
        <v>45</v>
      </c>
      <c r="D45" s="28" t="s">
        <v>182</v>
      </c>
      <c r="E45" s="29" t="s">
        <v>394</v>
      </c>
      <c r="F45" s="29" t="s">
        <v>183</v>
      </c>
      <c r="G45" s="40">
        <v>39722</v>
      </c>
      <c r="H45" s="29" t="str">
        <f>VLOOKUP(I45,Sheet1!$A$4:$B$20,2,0)</f>
        <v>Penata Muda (Gol. III/a)</v>
      </c>
      <c r="I45" s="33" t="s">
        <v>367</v>
      </c>
      <c r="J45" s="30">
        <v>45566</v>
      </c>
      <c r="K45" s="31" t="s">
        <v>516</v>
      </c>
      <c r="L45" s="32" t="str">
        <f t="shared" ca="1" si="5"/>
        <v>1 tahun, 9 bulan</v>
      </c>
      <c r="M45" s="30" t="s">
        <v>527</v>
      </c>
      <c r="N45" s="30" t="s">
        <v>1</v>
      </c>
      <c r="O45" s="30">
        <v>28146</v>
      </c>
      <c r="P45" s="28"/>
      <c r="Q45" s="43" t="s">
        <v>592</v>
      </c>
      <c r="R45" s="35" t="str">
        <f t="shared" ca="1" si="6"/>
        <v>49 tahun</v>
      </c>
      <c r="S45" s="35" t="str">
        <f t="shared" ca="1" si="7"/>
        <v>6 bulan</v>
      </c>
      <c r="T45" s="35" t="str">
        <f t="shared" ca="1" si="8"/>
        <v>8 hari</v>
      </c>
      <c r="U45" s="36" t="str">
        <f ca="1">DATEDIF(G45,$A$2,"Y")&amp;" tahun, "&amp;DATEDIF(G45,$A$2,"Ym")&amp;" bulan"</f>
        <v>17 tahun, 9 bulan</v>
      </c>
      <c r="V45" s="37">
        <f t="shared" si="9"/>
        <v>49341</v>
      </c>
    </row>
    <row r="46" spans="1:22" s="38" customFormat="1" ht="14.55" customHeight="1">
      <c r="A46" s="26">
        <v>43</v>
      </c>
      <c r="B46" s="27" t="s">
        <v>46</v>
      </c>
      <c r="C46" s="29" t="s">
        <v>47</v>
      </c>
      <c r="D46" s="28" t="s">
        <v>182</v>
      </c>
      <c r="E46" s="29" t="s">
        <v>960</v>
      </c>
      <c r="F46" s="29" t="s">
        <v>183</v>
      </c>
      <c r="G46" s="40">
        <v>39083</v>
      </c>
      <c r="H46" s="29" t="str">
        <f>VLOOKUP(I46,Sheet1!$A$4:$B$20,2,0)</f>
        <v>Penata Muda Tk.I (Gol. III/b)</v>
      </c>
      <c r="I46" s="28" t="s">
        <v>373</v>
      </c>
      <c r="J46" s="30">
        <v>45017</v>
      </c>
      <c r="K46" s="31"/>
      <c r="L46" s="32" t="str">
        <f t="shared" ca="1" si="5"/>
        <v>3 tahun, 3 bulan</v>
      </c>
      <c r="M46" s="30" t="s">
        <v>527</v>
      </c>
      <c r="N46" s="30" t="s">
        <v>1</v>
      </c>
      <c r="O46" s="30">
        <v>27859</v>
      </c>
      <c r="P46" s="28" t="s">
        <v>594</v>
      </c>
      <c r="Q46" s="28" t="s">
        <v>593</v>
      </c>
      <c r="R46" s="35" t="str">
        <f t="shared" ca="1" si="6"/>
        <v>50 tahun</v>
      </c>
      <c r="S46" s="35" t="str">
        <f t="shared" ca="1" si="7"/>
        <v>3 bulan</v>
      </c>
      <c r="T46" s="35" t="str">
        <f t="shared" ca="1" si="8"/>
        <v>20 hari</v>
      </c>
      <c r="U46" s="36" t="str">
        <f ca="1">DATEDIF(G46,$A$2,"Y")&amp;" tahun, "&amp;DATEDIF(G46,$A$2,"Ym")&amp;" bulan"</f>
        <v>19 tahun, 6 bulan</v>
      </c>
      <c r="V46" s="37">
        <f t="shared" si="9"/>
        <v>49065</v>
      </c>
    </row>
    <row r="47" spans="1:22" s="38" customFormat="1" ht="14.55" customHeight="1">
      <c r="A47" s="26">
        <v>44</v>
      </c>
      <c r="B47" s="27" t="s">
        <v>277</v>
      </c>
      <c r="C47" s="29" t="s">
        <v>278</v>
      </c>
      <c r="D47" s="28" t="s">
        <v>186</v>
      </c>
      <c r="E47" s="29" t="s">
        <v>395</v>
      </c>
      <c r="F47" s="29" t="s">
        <v>187</v>
      </c>
      <c r="G47" s="40">
        <v>42401</v>
      </c>
      <c r="H47" s="29" t="str">
        <f>VLOOKUP(I47,Sheet1!$A$4:$B$20,2,0)</f>
        <v>Pengatur (Gol. II/c)</v>
      </c>
      <c r="I47" s="33" t="s">
        <v>369</v>
      </c>
      <c r="J47" s="30">
        <v>45748</v>
      </c>
      <c r="K47" s="31" t="s">
        <v>908</v>
      </c>
      <c r="L47" s="32" t="str">
        <f t="shared" ca="1" si="5"/>
        <v>1 tahun, 3 bulan</v>
      </c>
      <c r="M47" s="30" t="s">
        <v>527</v>
      </c>
      <c r="N47" s="30" t="s">
        <v>421</v>
      </c>
      <c r="O47" s="30">
        <v>30012</v>
      </c>
      <c r="P47" s="28" t="s">
        <v>789</v>
      </c>
      <c r="Q47" s="28" t="s">
        <v>788</v>
      </c>
      <c r="R47" s="35" t="str">
        <f t="shared" ca="1" si="6"/>
        <v>44 tahun</v>
      </c>
      <c r="S47" s="35" t="str">
        <f t="shared" ca="1" si="7"/>
        <v>4 bulan</v>
      </c>
      <c r="T47" s="35" t="str">
        <f t="shared" ca="1" si="8"/>
        <v>27 hari</v>
      </c>
      <c r="U47" s="36" t="str">
        <f ca="1">DATEDIF(G47,$A$2,"Y")&amp;" tahun, "&amp;DATEDIF(G47,$A$2,"Ym")&amp;" bulan"</f>
        <v>10 tahun, 5 bulan</v>
      </c>
      <c r="V47" s="37">
        <f t="shared" si="9"/>
        <v>51227</v>
      </c>
    </row>
    <row r="48" spans="1:22" s="38" customFormat="1" ht="14.55" customHeight="1">
      <c r="A48" s="26">
        <v>45</v>
      </c>
      <c r="B48" s="27" t="s">
        <v>212</v>
      </c>
      <c r="C48" s="29" t="s">
        <v>213</v>
      </c>
      <c r="D48" s="28" t="s">
        <v>186</v>
      </c>
      <c r="E48" s="29" t="s">
        <v>401</v>
      </c>
      <c r="F48" s="29" t="s">
        <v>187</v>
      </c>
      <c r="G48" s="40">
        <v>42401</v>
      </c>
      <c r="H48" s="29" t="str">
        <f>VLOOKUP(I48,Sheet1!$A$4:$B$20,2,0)</f>
        <v>Pengatur Tk. I (Gol. II/d)</v>
      </c>
      <c r="I48" s="33" t="s">
        <v>370</v>
      </c>
      <c r="J48" s="30">
        <v>45748</v>
      </c>
      <c r="K48" s="31" t="s">
        <v>499</v>
      </c>
      <c r="L48" s="32" t="str">
        <f t="shared" ca="1" si="5"/>
        <v>1 tahun, 3 bulan</v>
      </c>
      <c r="M48" s="30" t="s">
        <v>527</v>
      </c>
      <c r="N48" s="30" t="s">
        <v>432</v>
      </c>
      <c r="O48" s="30">
        <v>28418</v>
      </c>
      <c r="P48" s="28" t="s">
        <v>791</v>
      </c>
      <c r="Q48" s="28" t="s">
        <v>790</v>
      </c>
      <c r="R48" s="35" t="str">
        <f t="shared" ca="1" si="6"/>
        <v>48 tahun</v>
      </c>
      <c r="S48" s="35" t="str">
        <f t="shared" ca="1" si="7"/>
        <v>9 bulan</v>
      </c>
      <c r="T48" s="35" t="str">
        <f t="shared" ca="1" si="8"/>
        <v>9 hari</v>
      </c>
      <c r="U48" s="36" t="str">
        <f ca="1">DATEDIF(G48,$A$2,"Y")&amp;" tahun, "&amp;DATEDIF(G48,$A$2,"Ym")&amp;" bulan"</f>
        <v>10 tahun, 5 bulan</v>
      </c>
      <c r="V48" s="37">
        <f t="shared" si="9"/>
        <v>49614</v>
      </c>
    </row>
    <row r="49" spans="1:22" s="38" customFormat="1" ht="14.55" customHeight="1">
      <c r="A49" s="26">
        <v>46</v>
      </c>
      <c r="B49" s="27" t="s">
        <v>354</v>
      </c>
      <c r="C49" s="29" t="s">
        <v>355</v>
      </c>
      <c r="D49" s="28" t="s">
        <v>186</v>
      </c>
      <c r="E49" s="29" t="s">
        <v>393</v>
      </c>
      <c r="F49" s="29" t="s">
        <v>187</v>
      </c>
      <c r="G49" s="40">
        <v>43617</v>
      </c>
      <c r="H49" s="29" t="str">
        <f>VLOOKUP(I49,Sheet1!$A$4:$B$20,2,0)</f>
        <v>Juru Tk. I (Gol. I/d)</v>
      </c>
      <c r="I49" s="33" t="s">
        <v>371</v>
      </c>
      <c r="J49" s="30">
        <v>45748</v>
      </c>
      <c r="K49" s="31" t="s">
        <v>912</v>
      </c>
      <c r="L49" s="32" t="str">
        <f t="shared" ca="1" si="5"/>
        <v>1 tahun, 3 bulan</v>
      </c>
      <c r="M49" s="30" t="s">
        <v>527</v>
      </c>
      <c r="N49" s="30" t="s">
        <v>433</v>
      </c>
      <c r="O49" s="30">
        <v>28887</v>
      </c>
      <c r="P49" s="28" t="s">
        <v>793</v>
      </c>
      <c r="Q49" s="28" t="s">
        <v>792</v>
      </c>
      <c r="R49" s="35" t="str">
        <f t="shared" ca="1" si="6"/>
        <v>47 tahun</v>
      </c>
      <c r="S49" s="35" t="str">
        <f t="shared" ca="1" si="7"/>
        <v>5 bulan</v>
      </c>
      <c r="T49" s="35" t="str">
        <f t="shared" ca="1" si="8"/>
        <v>28 hari</v>
      </c>
      <c r="U49" s="36" t="str">
        <f ca="1">DATEDIF(G49,$A$2,"Y")&amp;" tahun, "&amp;DATEDIF(G49,$A$2,"Ym")&amp;" bulan"</f>
        <v>7 tahun, 1 bulan</v>
      </c>
      <c r="V49" s="37">
        <f t="shared" si="9"/>
        <v>50100</v>
      </c>
    </row>
    <row r="50" spans="1:22" s="38" customFormat="1" ht="14.55" customHeight="1">
      <c r="A50" s="26">
        <v>47</v>
      </c>
      <c r="B50" s="27" t="s">
        <v>48</v>
      </c>
      <c r="C50" s="29" t="s">
        <v>272</v>
      </c>
      <c r="D50" s="28" t="s">
        <v>182</v>
      </c>
      <c r="E50" s="29" t="s">
        <v>388</v>
      </c>
      <c r="F50" s="29" t="s">
        <v>183</v>
      </c>
      <c r="G50" s="40">
        <v>40087</v>
      </c>
      <c r="H50" s="29" t="str">
        <f>VLOOKUP(I50,Sheet1!$A$4:$B$20,2,0)</f>
        <v>Penata Muda Tk.I (Gol. III/b)</v>
      </c>
      <c r="I50" s="28" t="s">
        <v>373</v>
      </c>
      <c r="J50" s="30">
        <v>45017</v>
      </c>
      <c r="K50" s="31"/>
      <c r="L50" s="32" t="str">
        <f t="shared" ca="1" si="5"/>
        <v>3 tahun, 3 bulan</v>
      </c>
      <c r="M50" s="30" t="s">
        <v>527</v>
      </c>
      <c r="N50" s="30" t="s">
        <v>434</v>
      </c>
      <c r="O50" s="30">
        <v>30170</v>
      </c>
      <c r="P50" s="28" t="s">
        <v>596</v>
      </c>
      <c r="Q50" s="28" t="s">
        <v>595</v>
      </c>
      <c r="R50" s="35" t="str">
        <f t="shared" ca="1" si="6"/>
        <v>43 tahun</v>
      </c>
      <c r="S50" s="35" t="str">
        <f t="shared" ca="1" si="7"/>
        <v>11 bulan</v>
      </c>
      <c r="T50" s="35" t="str">
        <f t="shared" ca="1" si="8"/>
        <v>22 hari</v>
      </c>
      <c r="U50" s="36" t="str">
        <f ca="1">DATEDIF(G50,$A$2,"Y")&amp;" tahun, "&amp;DATEDIF(G50,$A$2,"Ym")&amp;" bulan"</f>
        <v>16 tahun, 9 bulan</v>
      </c>
      <c r="V50" s="37">
        <f t="shared" si="9"/>
        <v>51380</v>
      </c>
    </row>
    <row r="51" spans="1:22" s="38" customFormat="1" ht="14.55" customHeight="1">
      <c r="A51" s="26">
        <v>48</v>
      </c>
      <c r="B51" s="27" t="s">
        <v>238</v>
      </c>
      <c r="C51" s="29" t="s">
        <v>239</v>
      </c>
      <c r="D51" s="28" t="s">
        <v>186</v>
      </c>
      <c r="E51" s="29" t="s">
        <v>393</v>
      </c>
      <c r="F51" s="29" t="s">
        <v>187</v>
      </c>
      <c r="G51" s="40">
        <v>43617</v>
      </c>
      <c r="H51" s="29" t="str">
        <f>VLOOKUP(I51,Sheet1!$A$4:$B$20,2,0)</f>
        <v>Pengatur Muda Tk. I (Gol. II/b)</v>
      </c>
      <c r="I51" s="28" t="s">
        <v>368</v>
      </c>
      <c r="J51" s="30">
        <v>45748</v>
      </c>
      <c r="K51" s="31" t="s">
        <v>909</v>
      </c>
      <c r="L51" s="32" t="str">
        <f t="shared" ca="1" si="5"/>
        <v>1 tahun, 3 bulan</v>
      </c>
      <c r="M51" s="30" t="s">
        <v>527</v>
      </c>
      <c r="N51" s="30" t="s">
        <v>435</v>
      </c>
      <c r="O51" s="30">
        <v>25017</v>
      </c>
      <c r="P51" s="43" t="s">
        <v>922</v>
      </c>
      <c r="Q51" s="28" t="s">
        <v>794</v>
      </c>
      <c r="R51" s="35" t="str">
        <f t="shared" ca="1" si="6"/>
        <v>58 tahun</v>
      </c>
      <c r="S51" s="35" t="str">
        <f t="shared" ca="1" si="7"/>
        <v>1 bulan</v>
      </c>
      <c r="T51" s="35" t="str">
        <f t="shared" ca="1" si="8"/>
        <v>1 hari</v>
      </c>
      <c r="U51" s="36" t="str">
        <f ca="1">DATEDIF(G51,$A$2,"Y")&amp;" tahun, "&amp;DATEDIF(G51,$A$2,"Ym")&amp;" bulan"</f>
        <v>7 tahun, 1 bulan</v>
      </c>
      <c r="V51" s="37">
        <f t="shared" si="9"/>
        <v>46204</v>
      </c>
    </row>
    <row r="52" spans="1:22" s="38" customFormat="1" ht="14.55" customHeight="1">
      <c r="A52" s="26">
        <v>49</v>
      </c>
      <c r="B52" s="27" t="s">
        <v>49</v>
      </c>
      <c r="C52" s="29" t="s">
        <v>50</v>
      </c>
      <c r="D52" s="28" t="s">
        <v>182</v>
      </c>
      <c r="E52" s="29" t="s">
        <v>403</v>
      </c>
      <c r="F52" s="29" t="s">
        <v>183</v>
      </c>
      <c r="G52" s="40">
        <v>34029</v>
      </c>
      <c r="H52" s="29" t="str">
        <f>VLOOKUP(I52,Sheet1!$A$4:$B$20,2,0)</f>
        <v>Penata Muda Tk.I (Gol. III/b)</v>
      </c>
      <c r="I52" s="28" t="s">
        <v>373</v>
      </c>
      <c r="J52" s="30">
        <v>41548</v>
      </c>
      <c r="K52" s="31"/>
      <c r="L52" s="32" t="str">
        <f t="shared" ca="1" si="5"/>
        <v>12 tahun, 9 bulan</v>
      </c>
      <c r="M52" s="30" t="s">
        <v>527</v>
      </c>
      <c r="N52" s="30" t="s">
        <v>1</v>
      </c>
      <c r="O52" s="30">
        <v>25494</v>
      </c>
      <c r="P52" s="28" t="s">
        <v>598</v>
      </c>
      <c r="Q52" s="28" t="s">
        <v>597</v>
      </c>
      <c r="R52" s="35" t="str">
        <f t="shared" ca="1" si="6"/>
        <v>56 tahun</v>
      </c>
      <c r="S52" s="35" t="str">
        <f t="shared" ca="1" si="7"/>
        <v>9 bulan</v>
      </c>
      <c r="T52" s="35" t="str">
        <f t="shared" ca="1" si="8"/>
        <v>11 hari</v>
      </c>
      <c r="U52" s="36" t="str">
        <f ca="1">DATEDIF(G52,$A$2,"Y")&amp;" tahun, "&amp;DATEDIF(G52,$A$2,"Ym")&amp;" bulan"</f>
        <v>33 tahun, 4 bulan</v>
      </c>
      <c r="V52" s="37">
        <f t="shared" si="9"/>
        <v>46692</v>
      </c>
    </row>
    <row r="53" spans="1:22" s="38" customFormat="1" ht="14.55" customHeight="1">
      <c r="A53" s="26">
        <v>50</v>
      </c>
      <c r="B53" s="27" t="s">
        <v>417</v>
      </c>
      <c r="C53" s="29" t="s">
        <v>384</v>
      </c>
      <c r="D53" s="28" t="s">
        <v>186</v>
      </c>
      <c r="E53" s="29" t="s">
        <v>394</v>
      </c>
      <c r="F53" s="29" t="s">
        <v>187</v>
      </c>
      <c r="G53" s="40">
        <v>42401</v>
      </c>
      <c r="H53" s="29" t="str">
        <f>VLOOKUP(I53,Sheet1!$A$4:$B$20,2,0)</f>
        <v>Pengatur (Gol. II/c)</v>
      </c>
      <c r="I53" s="28" t="s">
        <v>369</v>
      </c>
      <c r="J53" s="30">
        <v>45566</v>
      </c>
      <c r="K53" s="31" t="s">
        <v>513</v>
      </c>
      <c r="L53" s="32" t="str">
        <f t="shared" ca="1" si="5"/>
        <v>1 tahun, 9 bulan</v>
      </c>
      <c r="M53" s="30" t="s">
        <v>527</v>
      </c>
      <c r="N53" s="30" t="s">
        <v>1</v>
      </c>
      <c r="O53" s="30">
        <v>26890</v>
      </c>
      <c r="P53" s="28" t="s">
        <v>795</v>
      </c>
      <c r="Q53" s="28"/>
      <c r="R53" s="35" t="str">
        <f t="shared" ca="1" si="6"/>
        <v>52 tahun</v>
      </c>
      <c r="S53" s="35" t="str">
        <f t="shared" ca="1" si="7"/>
        <v>11 bulan</v>
      </c>
      <c r="T53" s="35" t="str">
        <f t="shared" ca="1" si="8"/>
        <v>15 hari</v>
      </c>
      <c r="U53" s="36" t="str">
        <f ca="1">DATEDIF(G53,$A$2,"Y")&amp;" tahun, "&amp;DATEDIF(G53,$A$2,"Ym")&amp;" bulan"</f>
        <v>10 tahun, 5 bulan</v>
      </c>
      <c r="V53" s="37">
        <f t="shared" si="9"/>
        <v>48092</v>
      </c>
    </row>
    <row r="54" spans="1:22" s="38" customFormat="1" ht="14.55" customHeight="1">
      <c r="A54" s="26">
        <v>51</v>
      </c>
      <c r="B54" s="27" t="s">
        <v>529</v>
      </c>
      <c r="C54" s="29" t="s">
        <v>893</v>
      </c>
      <c r="D54" s="28" t="s">
        <v>186</v>
      </c>
      <c r="E54" s="29" t="s">
        <v>947</v>
      </c>
      <c r="F54" s="29" t="s">
        <v>485</v>
      </c>
      <c r="G54" s="40">
        <v>45505</v>
      </c>
      <c r="H54" s="29" t="str">
        <f>VLOOKUP(I54,Sheet1!$A$4:$B$20,2,0)</f>
        <v>Pengatur (Gol. II/c)</v>
      </c>
      <c r="I54" s="28" t="s">
        <v>369</v>
      </c>
      <c r="J54" s="28" t="s">
        <v>882</v>
      </c>
      <c r="K54" s="31"/>
      <c r="L54" s="32" t="str">
        <f t="shared" ca="1" si="5"/>
        <v>1 tahun, 11 bulan</v>
      </c>
      <c r="M54" s="30" t="s">
        <v>528</v>
      </c>
      <c r="N54" s="30" t="s">
        <v>1</v>
      </c>
      <c r="O54" s="30">
        <v>36870</v>
      </c>
      <c r="P54" s="28" t="s">
        <v>883</v>
      </c>
      <c r="Q54" s="28"/>
      <c r="R54" s="35" t="str">
        <f t="shared" ca="1" si="6"/>
        <v>25 tahun</v>
      </c>
      <c r="S54" s="35" t="str">
        <f t="shared" ca="1" si="7"/>
        <v>7 bulan</v>
      </c>
      <c r="T54" s="35" t="str">
        <f t="shared" ca="1" si="8"/>
        <v>19 hari</v>
      </c>
      <c r="U54" s="36" t="str">
        <f ca="1">DATEDIF(G54,$A$2,"Y")&amp;" tahun, "&amp;DATEDIF(G54,$A$2,"Ym")&amp;" bulan"</f>
        <v>1 tahun, 11 bulan</v>
      </c>
      <c r="V54" s="37">
        <f t="shared" si="9"/>
        <v>58076</v>
      </c>
    </row>
    <row r="55" spans="1:22" s="38" customFormat="1" ht="14.55" customHeight="1">
      <c r="A55" s="26">
        <v>52</v>
      </c>
      <c r="B55" s="27" t="s">
        <v>51</v>
      </c>
      <c r="C55" s="29" t="s">
        <v>52</v>
      </c>
      <c r="D55" s="28" t="s">
        <v>182</v>
      </c>
      <c r="E55" s="29" t="s">
        <v>395</v>
      </c>
      <c r="F55" s="29" t="s">
        <v>183</v>
      </c>
      <c r="G55" s="40">
        <v>34394</v>
      </c>
      <c r="H55" s="29" t="str">
        <f>VLOOKUP(I55,Sheet1!$A$4:$B$20,2,0)</f>
        <v>Penata Muda Tk.I (Gol. III/b)</v>
      </c>
      <c r="I55" s="28" t="s">
        <v>373</v>
      </c>
      <c r="J55" s="30">
        <v>45017</v>
      </c>
      <c r="K55" s="31"/>
      <c r="L55" s="32" t="str">
        <f t="shared" ca="1" si="5"/>
        <v>3 tahun, 3 bulan</v>
      </c>
      <c r="M55" s="30" t="s">
        <v>527</v>
      </c>
      <c r="N55" s="30" t="s">
        <v>1</v>
      </c>
      <c r="O55" s="30">
        <v>25052</v>
      </c>
      <c r="P55" s="28" t="s">
        <v>600</v>
      </c>
      <c r="Q55" s="28" t="s">
        <v>599</v>
      </c>
      <c r="R55" s="35" t="str">
        <f t="shared" ca="1" si="6"/>
        <v>57 tahun</v>
      </c>
      <c r="S55" s="35" t="str">
        <f t="shared" ca="1" si="7"/>
        <v>11 bulan</v>
      </c>
      <c r="T55" s="35" t="str">
        <f t="shared" ca="1" si="8"/>
        <v>27 hari</v>
      </c>
      <c r="U55" s="36" t="str">
        <f ca="1">DATEDIF(G55,$A$2,"Y")&amp;" tahun, "&amp;DATEDIF(G55,$A$2,"Ym")&amp;" bulan"</f>
        <v>32 tahun, 4 bulan</v>
      </c>
      <c r="V55" s="37">
        <f t="shared" si="9"/>
        <v>46266</v>
      </c>
    </row>
    <row r="56" spans="1:22" s="38" customFormat="1" ht="14.55" customHeight="1">
      <c r="A56" s="26">
        <v>53</v>
      </c>
      <c r="B56" s="27" t="s">
        <v>53</v>
      </c>
      <c r="C56" s="29" t="s">
        <v>404</v>
      </c>
      <c r="D56" s="28" t="s">
        <v>182</v>
      </c>
      <c r="E56" s="29" t="s">
        <v>401</v>
      </c>
      <c r="F56" s="29" t="s">
        <v>183</v>
      </c>
      <c r="G56" s="40">
        <v>40087</v>
      </c>
      <c r="H56" s="29" t="str">
        <f>VLOOKUP(I56,Sheet1!$A$4:$B$20,2,0)</f>
        <v>Penata Muda (Gol. III/a)</v>
      </c>
      <c r="I56" s="28" t="s">
        <v>367</v>
      </c>
      <c r="J56" s="30">
        <v>45931</v>
      </c>
      <c r="K56" s="31" t="s">
        <v>941</v>
      </c>
      <c r="L56" s="32" t="str">
        <f t="shared" ca="1" si="5"/>
        <v>0 tahun, 9 bulan</v>
      </c>
      <c r="M56" s="30" t="s">
        <v>527</v>
      </c>
      <c r="N56" s="30" t="s">
        <v>1</v>
      </c>
      <c r="O56" s="30">
        <v>30406</v>
      </c>
      <c r="P56" s="28" t="s">
        <v>602</v>
      </c>
      <c r="Q56" s="28" t="s">
        <v>601</v>
      </c>
      <c r="R56" s="35" t="str">
        <f t="shared" ca="1" si="6"/>
        <v>43 tahun</v>
      </c>
      <c r="S56" s="35" t="str">
        <f t="shared" ca="1" si="7"/>
        <v>3 bulan</v>
      </c>
      <c r="T56" s="35" t="str">
        <f t="shared" ca="1" si="8"/>
        <v>28 hari</v>
      </c>
      <c r="U56" s="36" t="str">
        <f ca="1">DATEDIF(G56,$A$2,"Y")&amp;" tahun, "&amp;DATEDIF(G56,$A$2,"Ym")&amp;" bulan"</f>
        <v>16 tahun, 9 bulan</v>
      </c>
      <c r="V56" s="37">
        <f t="shared" si="9"/>
        <v>51592</v>
      </c>
    </row>
    <row r="57" spans="1:22" s="38" customFormat="1" ht="14.55" customHeight="1">
      <c r="A57" s="26">
        <v>54</v>
      </c>
      <c r="B57" s="27" t="s">
        <v>54</v>
      </c>
      <c r="C57" s="29" t="s">
        <v>55</v>
      </c>
      <c r="D57" s="28" t="s">
        <v>182</v>
      </c>
      <c r="E57" s="29" t="s">
        <v>395</v>
      </c>
      <c r="F57" s="29" t="s">
        <v>183</v>
      </c>
      <c r="G57" s="40">
        <v>40087</v>
      </c>
      <c r="H57" s="29" t="str">
        <f>VLOOKUP(I57,Sheet1!$A$4:$B$20,2,0)</f>
        <v>Penata Muda (Gol. III/a)</v>
      </c>
      <c r="I57" s="28" t="s">
        <v>367</v>
      </c>
      <c r="J57" s="30">
        <v>45992</v>
      </c>
      <c r="K57" s="31" t="s">
        <v>965</v>
      </c>
      <c r="L57" s="32" t="str">
        <f t="shared" ca="1" si="5"/>
        <v>0 tahun, 7 bulan</v>
      </c>
      <c r="M57" s="30" t="s">
        <v>527</v>
      </c>
      <c r="N57" s="30" t="s">
        <v>1</v>
      </c>
      <c r="O57" s="30">
        <v>30303</v>
      </c>
      <c r="P57" s="28" t="s">
        <v>604</v>
      </c>
      <c r="Q57" s="28" t="s">
        <v>603</v>
      </c>
      <c r="R57" s="35" t="str">
        <f t="shared" ca="1" si="6"/>
        <v>43 tahun</v>
      </c>
      <c r="S57" s="35" t="str">
        <f t="shared" ca="1" si="7"/>
        <v>7 bulan</v>
      </c>
      <c r="T57" s="35" t="str">
        <f t="shared" ca="1" si="8"/>
        <v>11 hari</v>
      </c>
      <c r="U57" s="36" t="str">
        <f ca="1">DATEDIF(G57,$A$2,"Y")&amp;" tahun, "&amp;DATEDIF(G57,$A$2,"Ym")&amp;" bulan"</f>
        <v>16 tahun, 9 bulan</v>
      </c>
      <c r="V57" s="37">
        <f t="shared" si="9"/>
        <v>51502</v>
      </c>
    </row>
    <row r="58" spans="1:22" s="38" customFormat="1" ht="14.55" customHeight="1">
      <c r="A58" s="26">
        <v>55</v>
      </c>
      <c r="B58" s="27" t="s">
        <v>56</v>
      </c>
      <c r="C58" s="29" t="s">
        <v>351</v>
      </c>
      <c r="D58" s="28" t="s">
        <v>182</v>
      </c>
      <c r="E58" s="29" t="s">
        <v>963</v>
      </c>
      <c r="F58" s="29" t="s">
        <v>183</v>
      </c>
      <c r="G58" s="40">
        <v>41883</v>
      </c>
      <c r="H58" s="29" t="str">
        <f>VLOOKUP(I58,Sheet1!$A$4:$B$20,2,0)</f>
        <v>Penata Muda Tk.I (Gol. III/b)</v>
      </c>
      <c r="I58" s="28" t="s">
        <v>373</v>
      </c>
      <c r="J58" s="30">
        <v>45748</v>
      </c>
      <c r="K58" s="31" t="s">
        <v>906</v>
      </c>
      <c r="L58" s="32" t="str">
        <f t="shared" ca="1" si="5"/>
        <v>1 tahun, 3 bulan</v>
      </c>
      <c r="M58" s="30" t="s">
        <v>527</v>
      </c>
      <c r="N58" s="30" t="s">
        <v>1</v>
      </c>
      <c r="O58" s="30">
        <v>25976</v>
      </c>
      <c r="P58" s="28" t="s">
        <v>606</v>
      </c>
      <c r="Q58" s="28" t="s">
        <v>605</v>
      </c>
      <c r="R58" s="35" t="str">
        <f t="shared" ca="1" si="6"/>
        <v>55 tahun</v>
      </c>
      <c r="S58" s="35" t="str">
        <f t="shared" ca="1" si="7"/>
        <v>5 bulan</v>
      </c>
      <c r="T58" s="35" t="str">
        <f t="shared" ca="1" si="8"/>
        <v>17 hari</v>
      </c>
      <c r="U58" s="36" t="str">
        <f ca="1">DATEDIF(G58,$A$2,"Y")&amp;" tahun, "&amp;DATEDIF(G58,$A$2,"Ym")&amp;" bulan"</f>
        <v>11 tahun, 10 bulan</v>
      </c>
      <c r="V58" s="37">
        <f t="shared" si="9"/>
        <v>47178</v>
      </c>
    </row>
    <row r="59" spans="1:22" s="38" customFormat="1" ht="14.55" customHeight="1">
      <c r="A59" s="26">
        <v>56</v>
      </c>
      <c r="B59" s="27" t="s">
        <v>348</v>
      </c>
      <c r="C59" s="29" t="s">
        <v>349</v>
      </c>
      <c r="D59" s="28" t="s">
        <v>186</v>
      </c>
      <c r="E59" s="29" t="s">
        <v>408</v>
      </c>
      <c r="F59" s="29" t="s">
        <v>187</v>
      </c>
      <c r="G59" s="40">
        <v>42401</v>
      </c>
      <c r="H59" s="29" t="str">
        <f>VLOOKUP(I59,Sheet1!$A$4:$B$20,2,0)</f>
        <v>Penata Muda Tk.I (Gol. III/b)</v>
      </c>
      <c r="I59" s="28" t="s">
        <v>373</v>
      </c>
      <c r="J59" s="30">
        <v>45566</v>
      </c>
      <c r="K59" s="31" t="s">
        <v>511</v>
      </c>
      <c r="L59" s="32" t="str">
        <f t="shared" ca="1" si="5"/>
        <v>1 tahun, 9 bulan</v>
      </c>
      <c r="M59" s="30" t="s">
        <v>528</v>
      </c>
      <c r="N59" s="30" t="s">
        <v>1</v>
      </c>
      <c r="O59" s="30">
        <v>32986</v>
      </c>
      <c r="P59" s="28" t="s">
        <v>797</v>
      </c>
      <c r="Q59" s="28" t="s">
        <v>796</v>
      </c>
      <c r="R59" s="35" t="str">
        <f t="shared" ca="1" si="6"/>
        <v>36 tahun</v>
      </c>
      <c r="S59" s="35" t="str">
        <f t="shared" ca="1" si="7"/>
        <v>3 bulan</v>
      </c>
      <c r="T59" s="35" t="str">
        <f t="shared" ca="1" si="8"/>
        <v>6 hari</v>
      </c>
      <c r="U59" s="36" t="str">
        <f ca="1">DATEDIF(G59,$A$2,"Y")&amp;" tahun, "&amp;DATEDIF(G59,$A$2,"Ym")&amp;" bulan"</f>
        <v>10 tahun, 5 bulan</v>
      </c>
      <c r="V59" s="37">
        <f t="shared" si="9"/>
        <v>54179</v>
      </c>
    </row>
    <row r="60" spans="1:22" s="38" customFormat="1" ht="14.55" customHeight="1">
      <c r="A60" s="26">
        <v>57</v>
      </c>
      <c r="B60" s="27" t="s">
        <v>57</v>
      </c>
      <c r="C60" s="29" t="s">
        <v>350</v>
      </c>
      <c r="D60" s="28" t="s">
        <v>182</v>
      </c>
      <c r="E60" s="29" t="s">
        <v>951</v>
      </c>
      <c r="F60" s="29" t="s">
        <v>481</v>
      </c>
      <c r="G60" s="40">
        <v>40087</v>
      </c>
      <c r="H60" s="29" t="str">
        <f>VLOOKUP(I60,Sheet1!$A$4:$B$20,2,0)</f>
        <v>Penata Muda Tk.I (Gol. III/b)</v>
      </c>
      <c r="I60" s="28" t="s">
        <v>373</v>
      </c>
      <c r="J60" s="30">
        <v>44470</v>
      </c>
      <c r="K60" s="31"/>
      <c r="L60" s="32" t="str">
        <f t="shared" ca="1" si="5"/>
        <v>4 tahun, 9 bulan</v>
      </c>
      <c r="M60" s="30" t="s">
        <v>528</v>
      </c>
      <c r="N60" s="30" t="s">
        <v>1</v>
      </c>
      <c r="O60" s="30">
        <v>30068</v>
      </c>
      <c r="P60" s="28" t="s">
        <v>608</v>
      </c>
      <c r="Q60" s="28" t="s">
        <v>607</v>
      </c>
      <c r="R60" s="35" t="str">
        <f t="shared" ca="1" si="6"/>
        <v>44 tahun</v>
      </c>
      <c r="S60" s="35" t="str">
        <f t="shared" ca="1" si="7"/>
        <v>3 bulan</v>
      </c>
      <c r="T60" s="35" t="str">
        <f t="shared" ca="1" si="8"/>
        <v>2 hari</v>
      </c>
      <c r="U60" s="36" t="str">
        <f ca="1">DATEDIF(G60,$A$2,"Y")&amp;" tahun, "&amp;DATEDIF(G60,$A$2,"Ym")&amp;" bulan"</f>
        <v>16 tahun, 9 bulan</v>
      </c>
      <c r="V60" s="37">
        <f t="shared" si="9"/>
        <v>51257</v>
      </c>
    </row>
    <row r="61" spans="1:22" s="38" customFormat="1" ht="14.55" customHeight="1">
      <c r="A61" s="26">
        <v>58</v>
      </c>
      <c r="B61" s="27" t="s">
        <v>174</v>
      </c>
      <c r="C61" s="29" t="s">
        <v>267</v>
      </c>
      <c r="D61" s="28" t="s">
        <v>182</v>
      </c>
      <c r="E61" s="29" t="s">
        <v>958</v>
      </c>
      <c r="F61" s="29" t="s">
        <v>183</v>
      </c>
      <c r="G61" s="40">
        <v>36220</v>
      </c>
      <c r="H61" s="29" t="str">
        <f>VLOOKUP(I61,Sheet1!$A$4:$B$20,2,0)</f>
        <v>Penata Tk.I (Gol. III/d)</v>
      </c>
      <c r="I61" s="28" t="s">
        <v>372</v>
      </c>
      <c r="J61" s="30">
        <v>43556</v>
      </c>
      <c r="K61" s="31"/>
      <c r="L61" s="32" t="str">
        <f t="shared" ca="1" si="5"/>
        <v>7 tahun, 3 bulan</v>
      </c>
      <c r="M61" s="30" t="s">
        <v>528</v>
      </c>
      <c r="N61" s="30" t="s">
        <v>1</v>
      </c>
      <c r="O61" s="30">
        <v>28218</v>
      </c>
      <c r="P61" s="28" t="s">
        <v>610</v>
      </c>
      <c r="Q61" s="28" t="s">
        <v>609</v>
      </c>
      <c r="R61" s="35" t="str">
        <f t="shared" ca="1" si="6"/>
        <v>49 tahun</v>
      </c>
      <c r="S61" s="35" t="str">
        <f t="shared" ca="1" si="7"/>
        <v>3 bulan</v>
      </c>
      <c r="T61" s="35" t="str">
        <f t="shared" ca="1" si="8"/>
        <v>26 hari</v>
      </c>
      <c r="U61" s="36" t="str">
        <f ca="1">DATEDIF(G61,$A$2,"Y")&amp;" tahun, "&amp;DATEDIF(G61,$A$2,"Ym")&amp;" bulan"</f>
        <v>27 tahun, 4 bulan</v>
      </c>
      <c r="V61" s="37">
        <f t="shared" si="9"/>
        <v>49430</v>
      </c>
    </row>
    <row r="62" spans="1:22" s="38" customFormat="1" ht="14.55" customHeight="1">
      <c r="A62" s="26">
        <v>59</v>
      </c>
      <c r="B62" s="27" t="s">
        <v>58</v>
      </c>
      <c r="C62" s="29" t="s">
        <v>208</v>
      </c>
      <c r="D62" s="28" t="s">
        <v>182</v>
      </c>
      <c r="E62" s="29" t="s">
        <v>394</v>
      </c>
      <c r="F62" s="29" t="s">
        <v>183</v>
      </c>
      <c r="G62" s="40">
        <v>41883</v>
      </c>
      <c r="H62" s="29" t="str">
        <f>VLOOKUP(I62,Sheet1!$A$4:$B$20,2,0)</f>
        <v>Pengatur Tk. I (Gol. II/d)</v>
      </c>
      <c r="I62" s="28" t="s">
        <v>370</v>
      </c>
      <c r="J62" s="30">
        <v>45748</v>
      </c>
      <c r="K62" s="31" t="s">
        <v>904</v>
      </c>
      <c r="L62" s="32" t="str">
        <f t="shared" ca="1" si="5"/>
        <v>1 tahun, 3 bulan</v>
      </c>
      <c r="M62" s="30" t="s">
        <v>527</v>
      </c>
      <c r="N62" s="30" t="s">
        <v>1</v>
      </c>
      <c r="O62" s="30">
        <v>29990</v>
      </c>
      <c r="P62" s="28" t="s">
        <v>612</v>
      </c>
      <c r="Q62" s="28" t="s">
        <v>611</v>
      </c>
      <c r="R62" s="35" t="str">
        <f t="shared" ca="1" si="6"/>
        <v>44 tahun</v>
      </c>
      <c r="S62" s="35" t="str">
        <f t="shared" ca="1" si="7"/>
        <v>5 bulan</v>
      </c>
      <c r="T62" s="35" t="str">
        <f t="shared" ca="1" si="8"/>
        <v>21 hari</v>
      </c>
      <c r="U62" s="36" t="str">
        <f ca="1">DATEDIF(G62,$A$2,"Y")&amp;" tahun, "&amp;DATEDIF(G62,$A$2,"Ym")&amp;" bulan"</f>
        <v>11 tahun, 10 bulan</v>
      </c>
      <c r="V62" s="37">
        <f t="shared" si="9"/>
        <v>51196</v>
      </c>
    </row>
    <row r="63" spans="1:22" s="38" customFormat="1" ht="14.55" customHeight="1">
      <c r="A63" s="26">
        <v>60</v>
      </c>
      <c r="B63" s="27" t="s">
        <v>292</v>
      </c>
      <c r="C63" s="29" t="s">
        <v>293</v>
      </c>
      <c r="D63" s="28" t="s">
        <v>186</v>
      </c>
      <c r="E63" s="29" t="s">
        <v>394</v>
      </c>
      <c r="F63" s="29" t="s">
        <v>187</v>
      </c>
      <c r="G63" s="40">
        <v>42401</v>
      </c>
      <c r="H63" s="29" t="str">
        <f>VLOOKUP(I63,Sheet1!$A$4:$B$20,2,0)</f>
        <v>Pengatur (Gol. II/c)</v>
      </c>
      <c r="I63" s="28" t="s">
        <v>369</v>
      </c>
      <c r="J63" s="30">
        <v>45931</v>
      </c>
      <c r="K63" s="31" t="s">
        <v>512</v>
      </c>
      <c r="L63" s="32" t="str">
        <f t="shared" ca="1" si="5"/>
        <v>0 tahun, 9 bulan</v>
      </c>
      <c r="M63" s="30" t="s">
        <v>527</v>
      </c>
      <c r="N63" s="30" t="s">
        <v>1</v>
      </c>
      <c r="O63" s="30">
        <v>28106</v>
      </c>
      <c r="P63" s="28" t="s">
        <v>799</v>
      </c>
      <c r="Q63" s="28" t="s">
        <v>798</v>
      </c>
      <c r="R63" s="35" t="str">
        <f t="shared" ca="1" si="6"/>
        <v>49 tahun</v>
      </c>
      <c r="S63" s="35" t="str">
        <f t="shared" ca="1" si="7"/>
        <v>7 bulan</v>
      </c>
      <c r="T63" s="35" t="str">
        <f t="shared" ca="1" si="8"/>
        <v>17 hari</v>
      </c>
      <c r="U63" s="36" t="str">
        <f ca="1">DATEDIF(G63,$A$2,"Y")&amp;" tahun, "&amp;DATEDIF(G63,$A$2,"Ym")&amp;" bulan"</f>
        <v>10 tahun, 5 bulan</v>
      </c>
      <c r="V63" s="37">
        <f t="shared" si="9"/>
        <v>49310</v>
      </c>
    </row>
    <row r="64" spans="1:22" s="38" customFormat="1" ht="14.55" customHeight="1">
      <c r="A64" s="26">
        <v>61</v>
      </c>
      <c r="B64" s="27" t="s">
        <v>59</v>
      </c>
      <c r="C64" s="29" t="s">
        <v>266</v>
      </c>
      <c r="D64" s="28" t="s">
        <v>182</v>
      </c>
      <c r="E64" s="29" t="s">
        <v>396</v>
      </c>
      <c r="F64" s="29" t="s">
        <v>183</v>
      </c>
      <c r="G64" s="40">
        <v>39722</v>
      </c>
      <c r="H64" s="29" t="str">
        <f>VLOOKUP(I64,Sheet1!$A$4:$B$20,2,0)</f>
        <v>Penata (Gol. III/c)</v>
      </c>
      <c r="I64" s="28" t="s">
        <v>374</v>
      </c>
      <c r="J64" s="30">
        <v>45413</v>
      </c>
      <c r="K64" s="31" t="s">
        <v>498</v>
      </c>
      <c r="L64" s="32" t="str">
        <f t="shared" ca="1" si="5"/>
        <v>2 tahun, 2 bulan</v>
      </c>
      <c r="M64" s="30" t="s">
        <v>527</v>
      </c>
      <c r="N64" s="30" t="s">
        <v>1</v>
      </c>
      <c r="O64" s="30">
        <v>27398</v>
      </c>
      <c r="P64" s="43" t="s">
        <v>923</v>
      </c>
      <c r="Q64" s="43" t="s">
        <v>613</v>
      </c>
      <c r="R64" s="35" t="str">
        <f t="shared" ca="1" si="6"/>
        <v>51 tahun</v>
      </c>
      <c r="S64" s="35" t="str">
        <f t="shared" ca="1" si="7"/>
        <v>6 bulan</v>
      </c>
      <c r="T64" s="35" t="str">
        <f t="shared" ca="1" si="8"/>
        <v>25 hari</v>
      </c>
      <c r="U64" s="36" t="str">
        <f ca="1">DATEDIF(G64,$A$2,"Y")&amp;" tahun, "&amp;DATEDIF(G64,$A$2,"Ym")&amp;" bulan"</f>
        <v>17 tahun, 9 bulan</v>
      </c>
      <c r="V64" s="37">
        <f t="shared" si="9"/>
        <v>48611</v>
      </c>
    </row>
    <row r="65" spans="1:22" s="38" customFormat="1" ht="14.55" customHeight="1">
      <c r="A65" s="26">
        <v>62</v>
      </c>
      <c r="B65" s="27" t="s">
        <v>309</v>
      </c>
      <c r="C65" s="29" t="s">
        <v>310</v>
      </c>
      <c r="D65" s="28" t="s">
        <v>186</v>
      </c>
      <c r="E65" s="29" t="s">
        <v>947</v>
      </c>
      <c r="F65" s="29" t="s">
        <v>485</v>
      </c>
      <c r="G65" s="40">
        <v>42401</v>
      </c>
      <c r="H65" s="29" t="str">
        <f>VLOOKUP(I65,Sheet1!$A$4:$B$20,2,0)</f>
        <v>Pengatur Tk. I (Gol. II/d)</v>
      </c>
      <c r="I65" s="28" t="s">
        <v>370</v>
      </c>
      <c r="J65" s="30">
        <v>45931</v>
      </c>
      <c r="K65" s="31"/>
      <c r="L65" s="32" t="str">
        <f t="shared" ca="1" si="5"/>
        <v>0 tahun, 9 bulan</v>
      </c>
      <c r="M65" s="30" t="s">
        <v>528</v>
      </c>
      <c r="N65" s="30" t="s">
        <v>1</v>
      </c>
      <c r="O65" s="30">
        <v>31455</v>
      </c>
      <c r="P65" s="28" t="s">
        <v>801</v>
      </c>
      <c r="Q65" s="28" t="s">
        <v>800</v>
      </c>
      <c r="R65" s="35" t="str">
        <f t="shared" ca="1" si="6"/>
        <v>40 tahun</v>
      </c>
      <c r="S65" s="35" t="str">
        <f t="shared" ca="1" si="7"/>
        <v>5 bulan</v>
      </c>
      <c r="T65" s="35" t="str">
        <f t="shared" ca="1" si="8"/>
        <v>17 hari</v>
      </c>
      <c r="U65" s="36" t="str">
        <f ca="1">DATEDIF(G65,$A$2,"Y")&amp;" tahun, "&amp;DATEDIF(G65,$A$2,"Ym")&amp;" bulan"</f>
        <v>10 tahun, 5 bulan</v>
      </c>
      <c r="V65" s="37">
        <f t="shared" si="9"/>
        <v>52657</v>
      </c>
    </row>
    <row r="66" spans="1:22" s="38" customFormat="1" ht="14.55" customHeight="1">
      <c r="A66" s="26">
        <v>63</v>
      </c>
      <c r="B66" s="27" t="s">
        <v>330</v>
      </c>
      <c r="C66" s="29" t="s">
        <v>331</v>
      </c>
      <c r="D66" s="28" t="s">
        <v>182</v>
      </c>
      <c r="E66" s="29" t="s">
        <v>406</v>
      </c>
      <c r="F66" s="29" t="s">
        <v>183</v>
      </c>
      <c r="G66" s="40">
        <v>34731</v>
      </c>
      <c r="H66" s="29" t="str">
        <f>VLOOKUP(I66,Sheet1!$A$4:$B$20,2,0)</f>
        <v>Penata (Gol. III/c)</v>
      </c>
      <c r="I66" s="28" t="s">
        <v>374</v>
      </c>
      <c r="J66" s="30">
        <v>41913</v>
      </c>
      <c r="K66" s="31"/>
      <c r="L66" s="32" t="str">
        <f t="shared" ca="1" si="5"/>
        <v>11 tahun, 9 bulan</v>
      </c>
      <c r="M66" s="30" t="s">
        <v>527</v>
      </c>
      <c r="N66" s="30" t="s">
        <v>421</v>
      </c>
      <c r="O66" s="30">
        <v>25825</v>
      </c>
      <c r="P66" s="28" t="s">
        <v>615</v>
      </c>
      <c r="Q66" s="28" t="s">
        <v>614</v>
      </c>
      <c r="R66" s="35" t="str">
        <f t="shared" ca="1" si="6"/>
        <v>55 tahun</v>
      </c>
      <c r="S66" s="35" t="str">
        <f t="shared" ca="1" si="7"/>
        <v>10 bulan</v>
      </c>
      <c r="T66" s="35" t="str">
        <f t="shared" ca="1" si="8"/>
        <v>15 hari</v>
      </c>
      <c r="U66" s="36" t="str">
        <f ca="1">DATEDIF(G66,$A$2,"Y")&amp;" tahun, "&amp;DATEDIF(G66,$A$2,"Ym")&amp;" bulan"</f>
        <v>31 tahun, 5 bulan</v>
      </c>
      <c r="V66" s="37">
        <f t="shared" si="9"/>
        <v>47027</v>
      </c>
    </row>
    <row r="67" spans="1:22" s="38" customFormat="1" ht="14.55" customHeight="1">
      <c r="A67" s="26">
        <v>64</v>
      </c>
      <c r="B67" s="27" t="s">
        <v>282</v>
      </c>
      <c r="C67" s="29" t="s">
        <v>283</v>
      </c>
      <c r="D67" s="28" t="s">
        <v>186</v>
      </c>
      <c r="E67" s="29" t="s">
        <v>395</v>
      </c>
      <c r="F67" s="29" t="s">
        <v>187</v>
      </c>
      <c r="G67" s="40">
        <v>42401</v>
      </c>
      <c r="H67" s="29" t="str">
        <f>VLOOKUP(I67,Sheet1!$A$4:$B$20,2,0)</f>
        <v>Pengatur (Gol. II/c)</v>
      </c>
      <c r="I67" s="33" t="s">
        <v>369</v>
      </c>
      <c r="J67" s="30">
        <v>45748</v>
      </c>
      <c r="K67" s="31" t="s">
        <v>908</v>
      </c>
      <c r="L67" s="32" t="str">
        <f t="shared" ca="1" si="5"/>
        <v>1 tahun, 3 bulan</v>
      </c>
      <c r="M67" s="30" t="s">
        <v>527</v>
      </c>
      <c r="N67" s="30" t="s">
        <v>1</v>
      </c>
      <c r="O67" s="30">
        <v>29010</v>
      </c>
      <c r="P67" s="28" t="s">
        <v>803</v>
      </c>
      <c r="Q67" s="28" t="s">
        <v>802</v>
      </c>
      <c r="R67" s="35" t="str">
        <f t="shared" ca="1" si="6"/>
        <v>47 tahun</v>
      </c>
      <c r="S67" s="35" t="str">
        <f t="shared" ca="1" si="7"/>
        <v>1 bulan</v>
      </c>
      <c r="T67" s="35" t="str">
        <f t="shared" ca="1" si="8"/>
        <v>25 hari</v>
      </c>
      <c r="U67" s="36" t="str">
        <f ca="1">DATEDIF(G67,$A$2,"Y")&amp;" tahun, "&amp;DATEDIF(G67,$A$2,"Ym")&amp;" bulan"</f>
        <v>10 tahun, 5 bulan</v>
      </c>
      <c r="V67" s="37">
        <f t="shared" si="9"/>
        <v>50222</v>
      </c>
    </row>
    <row r="68" spans="1:22" s="38" customFormat="1" ht="14.55" customHeight="1">
      <c r="A68" s="26">
        <v>65</v>
      </c>
      <c r="B68" s="27" t="s">
        <v>319</v>
      </c>
      <c r="C68" s="29" t="s">
        <v>320</v>
      </c>
      <c r="D68" s="28" t="s">
        <v>186</v>
      </c>
      <c r="E68" s="29" t="s">
        <v>948</v>
      </c>
      <c r="F68" s="29" t="s">
        <v>485</v>
      </c>
      <c r="G68" s="40">
        <v>42401</v>
      </c>
      <c r="H68" s="29" t="str">
        <f>VLOOKUP(I68,Sheet1!$A$4:$B$20,2,0)</f>
        <v>Penata Muda (Gol. III/a)</v>
      </c>
      <c r="I68" s="28" t="s">
        <v>367</v>
      </c>
      <c r="J68" s="30">
        <v>43922</v>
      </c>
      <c r="K68" s="31"/>
      <c r="L68" s="32" t="str">
        <f t="shared" ref="L68:L99" ca="1" si="10">DATEDIF(J68,$A$2,"Y")&amp;" tahun, "&amp;DATEDIF(J68,$A$2,"YM")&amp;" bulan"</f>
        <v>6 tahun, 3 bulan</v>
      </c>
      <c r="M68" s="30" t="s">
        <v>528</v>
      </c>
      <c r="N68" s="30" t="s">
        <v>1</v>
      </c>
      <c r="O68" s="30">
        <v>31851</v>
      </c>
      <c r="P68" s="28" t="s">
        <v>805</v>
      </c>
      <c r="Q68" s="28" t="s">
        <v>804</v>
      </c>
      <c r="R68" s="35" t="str">
        <f t="shared" ref="R68:R99" ca="1" si="11">DATEDIF(O68,$A$2,"Y")&amp;" tahun"</f>
        <v>39 tahun</v>
      </c>
      <c r="S68" s="35" t="str">
        <f t="shared" ref="S68:S99" ca="1" si="12">DATEDIF(O68,$A$2,"YM")&amp;" bulan"</f>
        <v>4 bulan</v>
      </c>
      <c r="T68" s="35" t="str">
        <f t="shared" ref="T68:T99" ca="1" si="13">DATEDIF(O68,$A$2,"MD")&amp;" hari"</f>
        <v>14 hari</v>
      </c>
      <c r="U68" s="36" t="str">
        <f ca="1">DATEDIF(G68,$A$2,"Y")&amp;" tahun, "&amp;DATEDIF(G68,$A$2,"Ym")&amp;" bulan"</f>
        <v>10 tahun, 5 bulan</v>
      </c>
      <c r="V68" s="37">
        <f t="shared" ref="V68:V93" si="14">DATE(YEAR(O68)+58,MONTH(O68)+1,1)</f>
        <v>53053</v>
      </c>
    </row>
    <row r="69" spans="1:22" s="38" customFormat="1" ht="14.55" customHeight="1">
      <c r="A69" s="26">
        <v>66</v>
      </c>
      <c r="B69" s="27" t="s">
        <v>60</v>
      </c>
      <c r="C69" s="29" t="s">
        <v>204</v>
      </c>
      <c r="D69" s="28" t="s">
        <v>182</v>
      </c>
      <c r="E69" s="29" t="s">
        <v>395</v>
      </c>
      <c r="F69" s="29" t="s">
        <v>183</v>
      </c>
      <c r="G69" s="40">
        <v>39722</v>
      </c>
      <c r="H69" s="29" t="str">
        <f>VLOOKUP(I69,Sheet1!$A$4:$B$20,2,0)</f>
        <v>Penata Muda (Gol. III/a)</v>
      </c>
      <c r="I69" s="33" t="s">
        <v>367</v>
      </c>
      <c r="J69" s="30">
        <v>45566</v>
      </c>
      <c r="K69" s="31" t="s">
        <v>522</v>
      </c>
      <c r="L69" s="32" t="str">
        <f t="shared" ca="1" si="10"/>
        <v>1 tahun, 9 bulan</v>
      </c>
      <c r="M69" s="30" t="s">
        <v>527</v>
      </c>
      <c r="N69" s="30" t="s">
        <v>1</v>
      </c>
      <c r="O69" s="30">
        <v>25690</v>
      </c>
      <c r="P69" s="28" t="s">
        <v>617</v>
      </c>
      <c r="Q69" s="28" t="s">
        <v>616</v>
      </c>
      <c r="R69" s="35" t="str">
        <f t="shared" ca="1" si="11"/>
        <v>56 tahun</v>
      </c>
      <c r="S69" s="35" t="str">
        <f t="shared" ca="1" si="12"/>
        <v>2 bulan</v>
      </c>
      <c r="T69" s="35" t="str">
        <f t="shared" ca="1" si="13"/>
        <v>27 hari</v>
      </c>
      <c r="U69" s="36" t="str">
        <f ca="1">DATEDIF(G69,$A$2,"Y")&amp;" tahun, "&amp;DATEDIF(G69,$A$2,"Ym")&amp;" bulan"</f>
        <v>17 tahun, 9 bulan</v>
      </c>
      <c r="V69" s="37">
        <f t="shared" si="14"/>
        <v>46905</v>
      </c>
    </row>
    <row r="70" spans="1:22" s="38" customFormat="1" ht="14.55" customHeight="1">
      <c r="A70" s="26">
        <v>67</v>
      </c>
      <c r="B70" s="27" t="s">
        <v>61</v>
      </c>
      <c r="C70" s="29" t="s">
        <v>325</v>
      </c>
      <c r="D70" s="28" t="s">
        <v>182</v>
      </c>
      <c r="E70" s="29" t="s">
        <v>407</v>
      </c>
      <c r="F70" s="29" t="s">
        <v>183</v>
      </c>
      <c r="G70" s="40">
        <v>41883</v>
      </c>
      <c r="H70" s="29" t="str">
        <f>VLOOKUP(I70,Sheet1!$A$4:$B$20,2,0)</f>
        <v>Penata Muda (Gol. III/a)</v>
      </c>
      <c r="I70" s="33" t="s">
        <v>367</v>
      </c>
      <c r="J70" s="30">
        <v>45748</v>
      </c>
      <c r="K70" s="31" t="s">
        <v>907</v>
      </c>
      <c r="L70" s="32" t="str">
        <f t="shared" ca="1" si="10"/>
        <v>1 tahun, 3 bulan</v>
      </c>
      <c r="M70" s="30" t="s">
        <v>527</v>
      </c>
      <c r="N70" s="30" t="s">
        <v>424</v>
      </c>
      <c r="O70" s="30">
        <v>29050</v>
      </c>
      <c r="P70" s="28" t="s">
        <v>619</v>
      </c>
      <c r="Q70" s="28" t="s">
        <v>618</v>
      </c>
      <c r="R70" s="35" t="str">
        <f t="shared" ca="1" si="11"/>
        <v>47 tahun</v>
      </c>
      <c r="S70" s="35" t="str">
        <f t="shared" ca="1" si="12"/>
        <v>0 bulan</v>
      </c>
      <c r="T70" s="35" t="str">
        <f t="shared" ca="1" si="13"/>
        <v>15 hari</v>
      </c>
      <c r="U70" s="36" t="str">
        <f ca="1">DATEDIF(G70,$A$2,"Y")&amp;" tahun, "&amp;DATEDIF(G70,$A$2,"Ym")&amp;" bulan"</f>
        <v>11 tahun, 10 bulan</v>
      </c>
      <c r="V70" s="37">
        <f t="shared" si="14"/>
        <v>50253</v>
      </c>
    </row>
    <row r="71" spans="1:22" s="38" customFormat="1" ht="14.55" customHeight="1">
      <c r="A71" s="26">
        <v>68</v>
      </c>
      <c r="B71" s="27" t="s">
        <v>62</v>
      </c>
      <c r="C71" s="29" t="s">
        <v>63</v>
      </c>
      <c r="D71" s="28" t="s">
        <v>182</v>
      </c>
      <c r="E71" s="29" t="s">
        <v>401</v>
      </c>
      <c r="F71" s="29" t="s">
        <v>183</v>
      </c>
      <c r="G71" s="40">
        <v>41883</v>
      </c>
      <c r="H71" s="29" t="str">
        <f>VLOOKUP(I71,Sheet1!$A$4:$B$20,2,0)</f>
        <v>Pengatur (Gol. II/c)</v>
      </c>
      <c r="I71" s="28" t="s">
        <v>369</v>
      </c>
      <c r="J71" s="30">
        <v>44835</v>
      </c>
      <c r="K71" s="31"/>
      <c r="L71" s="32" t="str">
        <f t="shared" ca="1" si="10"/>
        <v>3 tahun, 9 bulan</v>
      </c>
      <c r="M71" s="30" t="s">
        <v>527</v>
      </c>
      <c r="N71" s="30" t="s">
        <v>421</v>
      </c>
      <c r="O71" s="30">
        <v>27528</v>
      </c>
      <c r="P71" s="28" t="s">
        <v>621</v>
      </c>
      <c r="Q71" s="28" t="s">
        <v>620</v>
      </c>
      <c r="R71" s="35" t="str">
        <f t="shared" ca="1" si="11"/>
        <v>51 tahun</v>
      </c>
      <c r="S71" s="35" t="str">
        <f t="shared" ca="1" si="12"/>
        <v>2 bulan</v>
      </c>
      <c r="T71" s="35" t="str">
        <f t="shared" ca="1" si="13"/>
        <v>15 hari</v>
      </c>
      <c r="U71" s="36" t="str">
        <f ca="1">DATEDIF(G71,$A$2,"Y")&amp;" tahun, "&amp;DATEDIF(G71,$A$2,"Ym")&amp;" bulan"</f>
        <v>11 tahun, 10 bulan</v>
      </c>
      <c r="V71" s="37">
        <f t="shared" si="14"/>
        <v>48731</v>
      </c>
    </row>
    <row r="72" spans="1:22" s="38" customFormat="1" ht="14.55" customHeight="1">
      <c r="A72" s="26">
        <v>69</v>
      </c>
      <c r="B72" s="27" t="s">
        <v>533</v>
      </c>
      <c r="C72" s="29" t="s">
        <v>897</v>
      </c>
      <c r="D72" s="28" t="s">
        <v>186</v>
      </c>
      <c r="E72" s="29" t="s">
        <v>947</v>
      </c>
      <c r="F72" s="29" t="s">
        <v>485</v>
      </c>
      <c r="G72" s="40">
        <v>45505</v>
      </c>
      <c r="H72" s="29" t="str">
        <f>VLOOKUP(I72,Sheet1!$A$4:$B$20,2,0)</f>
        <v>Pengatur (Gol. II/c)</v>
      </c>
      <c r="I72" s="28" t="s">
        <v>369</v>
      </c>
      <c r="J72" s="28" t="s">
        <v>882</v>
      </c>
      <c r="K72" s="31"/>
      <c r="L72" s="32" t="str">
        <f t="shared" ca="1" si="10"/>
        <v>1 tahun, 11 bulan</v>
      </c>
      <c r="M72" s="30" t="s">
        <v>528</v>
      </c>
      <c r="N72" s="30" t="s">
        <v>1</v>
      </c>
      <c r="O72" s="30">
        <v>35739</v>
      </c>
      <c r="P72" s="43" t="s">
        <v>888</v>
      </c>
      <c r="Q72" s="28"/>
      <c r="R72" s="35" t="str">
        <f t="shared" ca="1" si="11"/>
        <v>28 tahun</v>
      </c>
      <c r="S72" s="35" t="str">
        <f t="shared" ca="1" si="12"/>
        <v>8 bulan</v>
      </c>
      <c r="T72" s="35" t="str">
        <f t="shared" ca="1" si="13"/>
        <v>24 hari</v>
      </c>
      <c r="U72" s="36" t="str">
        <f ca="1">DATEDIF(G72,$A$2,"Y")&amp;" tahun, "&amp;DATEDIF(G72,$A$2,"Ym")&amp;" bulan"</f>
        <v>1 tahun, 11 bulan</v>
      </c>
      <c r="V72" s="37">
        <f t="shared" si="14"/>
        <v>56949</v>
      </c>
    </row>
    <row r="73" spans="1:22" s="38" customFormat="1" ht="14.55" customHeight="1">
      <c r="A73" s="26">
        <v>70</v>
      </c>
      <c r="B73" s="27" t="s">
        <v>231</v>
      </c>
      <c r="C73" s="29" t="s">
        <v>232</v>
      </c>
      <c r="D73" s="28" t="s">
        <v>186</v>
      </c>
      <c r="E73" s="29" t="s">
        <v>418</v>
      </c>
      <c r="F73" s="29" t="s">
        <v>187</v>
      </c>
      <c r="G73" s="40">
        <v>42401</v>
      </c>
      <c r="H73" s="29" t="str">
        <f>VLOOKUP(I73,Sheet1!$A$4:$B$20,2,0)</f>
        <v>Penata Muda Tk.I (Gol. III/b)</v>
      </c>
      <c r="I73" s="28" t="s">
        <v>373</v>
      </c>
      <c r="J73" s="30">
        <v>45200</v>
      </c>
      <c r="K73" s="31"/>
      <c r="L73" s="32" t="str">
        <f t="shared" ca="1" si="10"/>
        <v>2 tahun, 9 bulan</v>
      </c>
      <c r="M73" s="30" t="s">
        <v>527</v>
      </c>
      <c r="N73" s="30" t="s">
        <v>430</v>
      </c>
      <c r="O73" s="30">
        <v>29043</v>
      </c>
      <c r="P73" s="43" t="s">
        <v>807</v>
      </c>
      <c r="Q73" s="28" t="s">
        <v>806</v>
      </c>
      <c r="R73" s="35" t="str">
        <f t="shared" ca="1" si="11"/>
        <v>47 tahun</v>
      </c>
      <c r="S73" s="35" t="str">
        <f t="shared" ca="1" si="12"/>
        <v>0 bulan</v>
      </c>
      <c r="T73" s="35" t="str">
        <f t="shared" ca="1" si="13"/>
        <v>22 hari</v>
      </c>
      <c r="U73" s="36" t="str">
        <f ca="1">DATEDIF(G73,$A$2,"Y")&amp;" tahun, "&amp;DATEDIF(G73,$A$2,"Ym")&amp;" bulan"</f>
        <v>10 tahun, 5 bulan</v>
      </c>
      <c r="V73" s="37">
        <f t="shared" si="14"/>
        <v>50253</v>
      </c>
    </row>
    <row r="74" spans="1:22" s="38" customFormat="1" ht="14.55" customHeight="1">
      <c r="A74" s="26">
        <v>71</v>
      </c>
      <c r="B74" s="27" t="s">
        <v>233</v>
      </c>
      <c r="C74" s="29" t="s">
        <v>234</v>
      </c>
      <c r="D74" s="28" t="s">
        <v>186</v>
      </c>
      <c r="E74" s="29" t="s">
        <v>408</v>
      </c>
      <c r="F74" s="29" t="s">
        <v>187</v>
      </c>
      <c r="G74" s="40">
        <v>42401</v>
      </c>
      <c r="H74" s="29" t="str">
        <f>VLOOKUP(I74,Sheet1!$A$4:$B$20,2,0)</f>
        <v>Penata Muda Tk.I (Gol. III/b)</v>
      </c>
      <c r="I74" s="28" t="s">
        <v>373</v>
      </c>
      <c r="J74" s="30">
        <v>45017</v>
      </c>
      <c r="K74" s="31"/>
      <c r="L74" s="32" t="str">
        <f t="shared" ca="1" si="10"/>
        <v>3 tahun, 3 bulan</v>
      </c>
      <c r="M74" s="30" t="s">
        <v>527</v>
      </c>
      <c r="N74" s="30" t="s">
        <v>1</v>
      </c>
      <c r="O74" s="30">
        <v>29957</v>
      </c>
      <c r="P74" s="28" t="s">
        <v>809</v>
      </c>
      <c r="Q74" s="28" t="s">
        <v>808</v>
      </c>
      <c r="R74" s="35" t="str">
        <f t="shared" ca="1" si="11"/>
        <v>44 tahun</v>
      </c>
      <c r="S74" s="35" t="str">
        <f t="shared" ca="1" si="12"/>
        <v>6 bulan</v>
      </c>
      <c r="T74" s="35" t="str">
        <f t="shared" ca="1" si="13"/>
        <v>23 hari</v>
      </c>
      <c r="U74" s="36" t="str">
        <f ca="1">DATEDIF(G74,$A$2,"Y")&amp;" tahun, "&amp;DATEDIF(G74,$A$2,"Ym")&amp;" bulan"</f>
        <v>10 tahun, 5 bulan</v>
      </c>
      <c r="V74" s="37">
        <f t="shared" si="14"/>
        <v>51167</v>
      </c>
    </row>
    <row r="75" spans="1:22" s="38" customFormat="1" ht="14.55" customHeight="1">
      <c r="A75" s="26">
        <v>72</v>
      </c>
      <c r="B75" s="27" t="s">
        <v>280</v>
      </c>
      <c r="C75" s="29" t="s">
        <v>281</v>
      </c>
      <c r="D75" s="28" t="s">
        <v>186</v>
      </c>
      <c r="E75" s="29" t="s">
        <v>948</v>
      </c>
      <c r="F75" s="29" t="s">
        <v>485</v>
      </c>
      <c r="G75" s="40">
        <v>42401</v>
      </c>
      <c r="H75" s="29" t="str">
        <f>VLOOKUP(I75,Sheet1!$A$4:$B$20,2,0)</f>
        <v>Penata Muda Tk.I (Gol. III/b)</v>
      </c>
      <c r="I75" s="28" t="s">
        <v>373</v>
      </c>
      <c r="J75" s="30">
        <v>46113</v>
      </c>
      <c r="K75" s="31" t="s">
        <v>985</v>
      </c>
      <c r="L75" s="32" t="str">
        <f t="shared" ca="1" si="10"/>
        <v>0 tahun, 3 bulan</v>
      </c>
      <c r="M75" s="30" t="s">
        <v>528</v>
      </c>
      <c r="N75" s="30" t="s">
        <v>436</v>
      </c>
      <c r="O75" s="30">
        <v>34096</v>
      </c>
      <c r="P75" s="28" t="s">
        <v>811</v>
      </c>
      <c r="Q75" s="28" t="s">
        <v>810</v>
      </c>
      <c r="R75" s="35" t="str">
        <f t="shared" ca="1" si="11"/>
        <v>33 tahun</v>
      </c>
      <c r="S75" s="35" t="str">
        <f t="shared" ca="1" si="12"/>
        <v>2 bulan</v>
      </c>
      <c r="T75" s="35" t="str">
        <f t="shared" ca="1" si="13"/>
        <v>22 hari</v>
      </c>
      <c r="U75" s="36" t="str">
        <f ca="1">DATEDIF(G75,$A$2,"Y")&amp;" tahun, "&amp;DATEDIF(G75,$A$2,"Ym")&amp;" bulan"</f>
        <v>10 tahun, 5 bulan</v>
      </c>
      <c r="V75" s="37">
        <f t="shared" si="14"/>
        <v>55305</v>
      </c>
    </row>
    <row r="76" spans="1:22" s="38" customFormat="1" ht="14.55" customHeight="1">
      <c r="A76" s="26">
        <v>73</v>
      </c>
      <c r="B76" s="27" t="s">
        <v>366</v>
      </c>
      <c r="C76" s="29" t="s">
        <v>365</v>
      </c>
      <c r="D76" s="28" t="s">
        <v>182</v>
      </c>
      <c r="E76" s="29" t="s">
        <v>950</v>
      </c>
      <c r="F76" s="29" t="s">
        <v>481</v>
      </c>
      <c r="G76" s="40">
        <v>40513</v>
      </c>
      <c r="H76" s="29" t="str">
        <f>VLOOKUP(I76,Sheet1!$A$4:$B$20,2,0)</f>
        <v>Penata Muda (Gol. III/a)</v>
      </c>
      <c r="I76" s="28" t="s">
        <v>367</v>
      </c>
      <c r="J76" s="30">
        <v>45627</v>
      </c>
      <c r="K76" s="31" t="s">
        <v>901</v>
      </c>
      <c r="L76" s="32" t="str">
        <f t="shared" ca="1" si="10"/>
        <v>1 tahun, 7 bulan</v>
      </c>
      <c r="M76" s="30" t="s">
        <v>528</v>
      </c>
      <c r="N76" s="30" t="s">
        <v>1</v>
      </c>
      <c r="O76" s="30">
        <v>30508</v>
      </c>
      <c r="P76" s="28" t="s">
        <v>623</v>
      </c>
      <c r="Q76" s="28" t="s">
        <v>622</v>
      </c>
      <c r="R76" s="35" t="str">
        <f t="shared" ca="1" si="11"/>
        <v>43 tahun</v>
      </c>
      <c r="S76" s="35" t="str">
        <f t="shared" ca="1" si="12"/>
        <v>0 bulan</v>
      </c>
      <c r="T76" s="35" t="str">
        <f t="shared" ca="1" si="13"/>
        <v>18 hari</v>
      </c>
      <c r="U76" s="36" t="str">
        <f ca="1">DATEDIF(G76,$A$2,"Y")&amp;" tahun, "&amp;DATEDIF(G76,$A$2,"Ym")&amp;" bulan"</f>
        <v>15 tahun, 7 bulan</v>
      </c>
      <c r="V76" s="37">
        <f t="shared" si="14"/>
        <v>51714</v>
      </c>
    </row>
    <row r="77" spans="1:22" s="38" customFormat="1" ht="13.05" customHeight="1">
      <c r="A77" s="26">
        <v>74</v>
      </c>
      <c r="B77" s="27" t="s">
        <v>249</v>
      </c>
      <c r="C77" s="29" t="s">
        <v>250</v>
      </c>
      <c r="D77" s="28" t="s">
        <v>186</v>
      </c>
      <c r="E77" s="29" t="s">
        <v>398</v>
      </c>
      <c r="F77" s="29" t="s">
        <v>187</v>
      </c>
      <c r="G77" s="40">
        <v>42401</v>
      </c>
      <c r="H77" s="29" t="str">
        <f>VLOOKUP(I77,Sheet1!$A$4:$B$20,2,0)</f>
        <v>Pengatur (Gol. II/c)</v>
      </c>
      <c r="I77" s="33" t="s">
        <v>369</v>
      </c>
      <c r="J77" s="30">
        <v>45748</v>
      </c>
      <c r="K77" s="31" t="s">
        <v>901</v>
      </c>
      <c r="L77" s="32" t="str">
        <f t="shared" ca="1" si="10"/>
        <v>1 tahun, 3 bulan</v>
      </c>
      <c r="M77" s="30" t="s">
        <v>527</v>
      </c>
      <c r="N77" s="30" t="s">
        <v>421</v>
      </c>
      <c r="O77" s="30">
        <v>32735</v>
      </c>
      <c r="P77" s="43" t="s">
        <v>932</v>
      </c>
      <c r="Q77" s="28" t="s">
        <v>812</v>
      </c>
      <c r="R77" s="35" t="str">
        <f t="shared" ca="1" si="11"/>
        <v>36 tahun</v>
      </c>
      <c r="S77" s="35" t="str">
        <f t="shared" ca="1" si="12"/>
        <v>11 bulan</v>
      </c>
      <c r="T77" s="35" t="str">
        <f t="shared" ca="1" si="13"/>
        <v>14 hari</v>
      </c>
      <c r="U77" s="36" t="str">
        <f ca="1">DATEDIF(G77,$A$2,"Y")&amp;" tahun, "&amp;DATEDIF(G77,$A$2,"Ym")&amp;" bulan"</f>
        <v>10 tahun, 5 bulan</v>
      </c>
      <c r="V77" s="37">
        <f t="shared" si="14"/>
        <v>53936</v>
      </c>
    </row>
    <row r="78" spans="1:22" s="38" customFormat="1" ht="14.55" customHeight="1">
      <c r="A78" s="26">
        <v>75</v>
      </c>
      <c r="B78" s="27" t="s">
        <v>64</v>
      </c>
      <c r="C78" s="29" t="s">
        <v>230</v>
      </c>
      <c r="D78" s="28" t="s">
        <v>182</v>
      </c>
      <c r="E78" s="29" t="s">
        <v>402</v>
      </c>
      <c r="F78" s="29" t="s">
        <v>183</v>
      </c>
      <c r="G78" s="40">
        <v>39722</v>
      </c>
      <c r="H78" s="29" t="str">
        <f>VLOOKUP(I78,Sheet1!$A$4:$B$20,2,0)</f>
        <v>Penata (Gol. III/c)</v>
      </c>
      <c r="I78" s="33" t="s">
        <v>374</v>
      </c>
      <c r="J78" s="30">
        <v>45566</v>
      </c>
      <c r="K78" s="31"/>
      <c r="L78" s="32" t="str">
        <f t="shared" ca="1" si="10"/>
        <v>1 tahun, 9 bulan</v>
      </c>
      <c r="M78" s="30" t="s">
        <v>528</v>
      </c>
      <c r="N78" s="30" t="s">
        <v>437</v>
      </c>
      <c r="O78" s="30">
        <v>28533</v>
      </c>
      <c r="P78" s="28" t="s">
        <v>625</v>
      </c>
      <c r="Q78" s="28" t="s">
        <v>624</v>
      </c>
      <c r="R78" s="35" t="str">
        <f t="shared" ca="1" si="11"/>
        <v>48 tahun</v>
      </c>
      <c r="S78" s="35" t="str">
        <f t="shared" ca="1" si="12"/>
        <v>5 bulan</v>
      </c>
      <c r="T78" s="35" t="str">
        <f t="shared" ca="1" si="13"/>
        <v>17 hari</v>
      </c>
      <c r="U78" s="36" t="str">
        <f ca="1">DATEDIF(G78,$A$2,"Y")&amp;" tahun, "&amp;DATEDIF(G78,$A$2,"Ym")&amp;" bulan"</f>
        <v>17 tahun, 9 bulan</v>
      </c>
      <c r="V78" s="37">
        <f t="shared" si="14"/>
        <v>49735</v>
      </c>
    </row>
    <row r="79" spans="1:22" s="38" customFormat="1" ht="14.55" customHeight="1">
      <c r="A79" s="26">
        <v>76</v>
      </c>
      <c r="B79" s="27" t="s">
        <v>65</v>
      </c>
      <c r="C79" s="29" t="s">
        <v>66</v>
      </c>
      <c r="D79" s="28" t="s">
        <v>182</v>
      </c>
      <c r="E79" s="29" t="s">
        <v>401</v>
      </c>
      <c r="F79" s="29" t="s">
        <v>183</v>
      </c>
      <c r="G79" s="40">
        <v>41883</v>
      </c>
      <c r="H79" s="29" t="str">
        <f>VLOOKUP(I79,Sheet1!$A$4:$B$20,2,0)</f>
        <v>Pengatur (Gol. II/c)</v>
      </c>
      <c r="I79" s="28" t="s">
        <v>369</v>
      </c>
      <c r="J79" s="30">
        <v>44835</v>
      </c>
      <c r="K79" s="31"/>
      <c r="L79" s="32" t="str">
        <f t="shared" ca="1" si="10"/>
        <v>3 tahun, 9 bulan</v>
      </c>
      <c r="M79" s="30" t="s">
        <v>527</v>
      </c>
      <c r="N79" s="30" t="s">
        <v>421</v>
      </c>
      <c r="O79" s="30">
        <v>29800</v>
      </c>
      <c r="P79" s="28" t="s">
        <v>627</v>
      </c>
      <c r="Q79" s="28" t="s">
        <v>626</v>
      </c>
      <c r="R79" s="35" t="str">
        <f t="shared" ca="1" si="11"/>
        <v>44 tahun</v>
      </c>
      <c r="S79" s="35" t="str">
        <f t="shared" ca="1" si="12"/>
        <v>11 bulan</v>
      </c>
      <c r="T79" s="35" t="str">
        <f t="shared" ca="1" si="13"/>
        <v>27 hari</v>
      </c>
      <c r="U79" s="36" t="str">
        <f ca="1">DATEDIF(G79,$A$2,"Y")&amp;" tahun, "&amp;DATEDIF(G79,$A$2,"Ym")&amp;" bulan"</f>
        <v>11 tahun, 10 bulan</v>
      </c>
      <c r="V79" s="37">
        <f t="shared" si="14"/>
        <v>51014</v>
      </c>
    </row>
    <row r="80" spans="1:22" s="38" customFormat="1" ht="14.55" customHeight="1">
      <c r="A80" s="26">
        <v>77</v>
      </c>
      <c r="B80" s="27" t="s">
        <v>67</v>
      </c>
      <c r="C80" s="29" t="s">
        <v>68</v>
      </c>
      <c r="D80" s="28" t="s">
        <v>182</v>
      </c>
      <c r="E80" s="29" t="s">
        <v>946</v>
      </c>
      <c r="F80" s="29" t="s">
        <v>183</v>
      </c>
      <c r="G80" s="40">
        <v>39722</v>
      </c>
      <c r="H80" s="29" t="str">
        <f>VLOOKUP(I80,Sheet1!$A$4:$B$20,2,0)</f>
        <v>Pengatur Tk. I (Gol. II/d)</v>
      </c>
      <c r="I80" s="28" t="s">
        <v>370</v>
      </c>
      <c r="J80" s="30">
        <v>46174</v>
      </c>
      <c r="K80" s="31" t="s">
        <v>993</v>
      </c>
      <c r="L80" s="32" t="str">
        <f t="shared" ca="1" si="10"/>
        <v>0 tahun, 1 bulan</v>
      </c>
      <c r="M80" s="30" t="s">
        <v>527</v>
      </c>
      <c r="N80" s="30" t="s">
        <v>1</v>
      </c>
      <c r="O80" s="30">
        <v>26304</v>
      </c>
      <c r="P80" s="28" t="s">
        <v>629</v>
      </c>
      <c r="Q80" s="28" t="s">
        <v>628</v>
      </c>
      <c r="R80" s="35" t="str">
        <f t="shared" ca="1" si="11"/>
        <v>54 tahun</v>
      </c>
      <c r="S80" s="35" t="str">
        <f t="shared" ca="1" si="12"/>
        <v>6 bulan</v>
      </c>
      <c r="T80" s="35" t="str">
        <f t="shared" ca="1" si="13"/>
        <v>23 hari</v>
      </c>
      <c r="U80" s="36" t="str">
        <f ca="1">DATEDIF(G80,$A$2,"Y")&amp;" tahun, "&amp;DATEDIF(G80,$A$2,"Ym")&amp;" bulan"</f>
        <v>17 tahun, 9 bulan</v>
      </c>
      <c r="V80" s="37">
        <f t="shared" si="14"/>
        <v>47515</v>
      </c>
    </row>
    <row r="81" spans="1:22" s="38" customFormat="1" ht="14.55" customHeight="1">
      <c r="A81" s="26">
        <v>78</v>
      </c>
      <c r="B81" s="27" t="s">
        <v>195</v>
      </c>
      <c r="C81" s="29" t="s">
        <v>196</v>
      </c>
      <c r="D81" s="28" t="s">
        <v>186</v>
      </c>
      <c r="E81" s="29" t="s">
        <v>954</v>
      </c>
      <c r="F81" s="29" t="s">
        <v>485</v>
      </c>
      <c r="G81" s="40">
        <v>42401</v>
      </c>
      <c r="H81" s="29" t="str">
        <f>VLOOKUP(I81,Sheet1!$A$4:$B$20,2,0)</f>
        <v>Penata Muda Tk.I (Gol. III/b)</v>
      </c>
      <c r="I81" s="28" t="s">
        <v>373</v>
      </c>
      <c r="J81" s="30">
        <v>45931</v>
      </c>
      <c r="K81" s="31"/>
      <c r="L81" s="32" t="str">
        <f t="shared" ca="1" si="10"/>
        <v>0 tahun, 9 bulan</v>
      </c>
      <c r="M81" s="30" t="s">
        <v>527</v>
      </c>
      <c r="N81" s="30" t="s">
        <v>438</v>
      </c>
      <c r="O81" s="30">
        <v>31933</v>
      </c>
      <c r="P81" s="28" t="s">
        <v>814</v>
      </c>
      <c r="Q81" s="28" t="s">
        <v>813</v>
      </c>
      <c r="R81" s="35" t="str">
        <f t="shared" ca="1" si="11"/>
        <v>39 tahun</v>
      </c>
      <c r="S81" s="35" t="str">
        <f t="shared" ca="1" si="12"/>
        <v>1 bulan</v>
      </c>
      <c r="T81" s="35" t="str">
        <f t="shared" ca="1" si="13"/>
        <v>24 hari</v>
      </c>
      <c r="U81" s="36" t="str">
        <f ca="1">DATEDIF(G81,$A$2,"Y")&amp;" tahun, "&amp;DATEDIF(G81,$A$2,"Ym")&amp;" bulan"</f>
        <v>10 tahun, 5 bulan</v>
      </c>
      <c r="V81" s="37">
        <f t="shared" si="14"/>
        <v>53144</v>
      </c>
    </row>
    <row r="82" spans="1:22" s="38" customFormat="1" ht="14.55" customHeight="1">
      <c r="A82" s="26">
        <v>79</v>
      </c>
      <c r="B82" s="27" t="s">
        <v>69</v>
      </c>
      <c r="C82" s="29" t="s">
        <v>205</v>
      </c>
      <c r="D82" s="28" t="s">
        <v>182</v>
      </c>
      <c r="E82" s="29" t="s">
        <v>949</v>
      </c>
      <c r="F82" s="29" t="s">
        <v>481</v>
      </c>
      <c r="G82" s="40">
        <v>36220</v>
      </c>
      <c r="H82" s="29" t="str">
        <f>VLOOKUP(I82,Sheet1!$A$4:$B$20,2,0)</f>
        <v>Penata Tk.I (Gol. III/d)</v>
      </c>
      <c r="I82" s="28" t="s">
        <v>372</v>
      </c>
      <c r="J82" s="30">
        <v>44835</v>
      </c>
      <c r="K82" s="31"/>
      <c r="L82" s="32" t="str">
        <f t="shared" ca="1" si="10"/>
        <v>3 tahun, 9 bulan</v>
      </c>
      <c r="M82" s="30" t="s">
        <v>528</v>
      </c>
      <c r="N82" s="30" t="s">
        <v>431</v>
      </c>
      <c r="O82" s="30">
        <v>27478</v>
      </c>
      <c r="P82" s="28" t="s">
        <v>631</v>
      </c>
      <c r="Q82" s="28" t="s">
        <v>630</v>
      </c>
      <c r="R82" s="35" t="str">
        <f t="shared" ca="1" si="11"/>
        <v>51 tahun</v>
      </c>
      <c r="S82" s="35" t="str">
        <f t="shared" ca="1" si="12"/>
        <v>4 bulan</v>
      </c>
      <c r="T82" s="35" t="str">
        <f t="shared" ca="1" si="13"/>
        <v>4 hari</v>
      </c>
      <c r="U82" s="36" t="str">
        <f ca="1">DATEDIF(G82,$A$2,"Y")&amp;" tahun, "&amp;DATEDIF(G82,$A$2,"Ym")&amp;" bulan"</f>
        <v>27 tahun, 4 bulan</v>
      </c>
      <c r="V82" s="37">
        <f t="shared" si="14"/>
        <v>48670</v>
      </c>
    </row>
    <row r="83" spans="1:22" s="38" customFormat="1" ht="14.55" customHeight="1">
      <c r="A83" s="26">
        <v>80</v>
      </c>
      <c r="B83" s="27" t="s">
        <v>219</v>
      </c>
      <c r="C83" s="29" t="s">
        <v>220</v>
      </c>
      <c r="D83" s="28" t="s">
        <v>186</v>
      </c>
      <c r="E83" s="29" t="s">
        <v>402</v>
      </c>
      <c r="F83" s="29" t="s">
        <v>187</v>
      </c>
      <c r="G83" s="40">
        <v>42401</v>
      </c>
      <c r="H83" s="29" t="str">
        <f>VLOOKUP(I83,Sheet1!$A$4:$B$20,2,0)</f>
        <v>Penata Muda Tk.I (Gol. III/b)</v>
      </c>
      <c r="I83" s="28" t="s">
        <v>373</v>
      </c>
      <c r="J83" s="30">
        <v>44835</v>
      </c>
      <c r="K83" s="31"/>
      <c r="L83" s="32" t="str">
        <f t="shared" ca="1" si="10"/>
        <v>3 tahun, 9 bulan</v>
      </c>
      <c r="M83" s="30" t="s">
        <v>527</v>
      </c>
      <c r="N83" s="30" t="s">
        <v>1</v>
      </c>
      <c r="O83" s="30">
        <v>30047</v>
      </c>
      <c r="P83" s="28" t="s">
        <v>816</v>
      </c>
      <c r="Q83" s="28" t="s">
        <v>815</v>
      </c>
      <c r="R83" s="35" t="str">
        <f t="shared" ca="1" si="11"/>
        <v>44 tahun</v>
      </c>
      <c r="S83" s="35" t="str">
        <f t="shared" ca="1" si="12"/>
        <v>3 bulan</v>
      </c>
      <c r="T83" s="35" t="str">
        <f t="shared" ca="1" si="13"/>
        <v>23 hari</v>
      </c>
      <c r="U83" s="36" t="str">
        <f ca="1">DATEDIF(G83,$A$2,"Y")&amp;" tahun, "&amp;DATEDIF(G83,$A$2,"Ym")&amp;" bulan"</f>
        <v>10 tahun, 5 bulan</v>
      </c>
      <c r="V83" s="37">
        <f t="shared" si="14"/>
        <v>51257</v>
      </c>
    </row>
    <row r="84" spans="1:22" s="38" customFormat="1" ht="14.55" customHeight="1">
      <c r="A84" s="26">
        <v>81</v>
      </c>
      <c r="B84" s="27" t="s">
        <v>297</v>
      </c>
      <c r="C84" s="29" t="s">
        <v>298</v>
      </c>
      <c r="D84" s="28" t="s">
        <v>186</v>
      </c>
      <c r="E84" s="29" t="s">
        <v>395</v>
      </c>
      <c r="F84" s="29" t="s">
        <v>187</v>
      </c>
      <c r="G84" s="40">
        <v>42401</v>
      </c>
      <c r="H84" s="29" t="str">
        <f>VLOOKUP(I84,Sheet1!$A$4:$B$20,2,0)</f>
        <v>Pengatur Muda (Gol. II/a)</v>
      </c>
      <c r="I84" s="28" t="s">
        <v>377</v>
      </c>
      <c r="J84" s="30">
        <v>43344</v>
      </c>
      <c r="K84" s="31"/>
      <c r="L84" s="32" t="str">
        <f t="shared" ca="1" si="10"/>
        <v>7 tahun, 10 bulan</v>
      </c>
      <c r="M84" s="30" t="s">
        <v>527</v>
      </c>
      <c r="N84" s="30" t="s">
        <v>1</v>
      </c>
      <c r="O84" s="30">
        <v>30999</v>
      </c>
      <c r="P84" s="28" t="s">
        <v>818</v>
      </c>
      <c r="Q84" s="28" t="s">
        <v>817</v>
      </c>
      <c r="R84" s="35" t="str">
        <f t="shared" ca="1" si="11"/>
        <v>41 tahun</v>
      </c>
      <c r="S84" s="35" t="str">
        <f t="shared" ca="1" si="12"/>
        <v>8 bulan</v>
      </c>
      <c r="T84" s="35" t="str">
        <f t="shared" ca="1" si="13"/>
        <v>16 hari</v>
      </c>
      <c r="U84" s="36" t="str">
        <f ca="1">DATEDIF(G84,$A$2,"Y")&amp;" tahun, "&amp;DATEDIF(G84,$A$2,"Ym")&amp;" bulan"</f>
        <v>10 tahun, 5 bulan</v>
      </c>
      <c r="V84" s="37">
        <f t="shared" si="14"/>
        <v>52201</v>
      </c>
    </row>
    <row r="85" spans="1:22" s="38" customFormat="1" ht="14.55" customHeight="1">
      <c r="A85" s="26">
        <v>82</v>
      </c>
      <c r="B85" s="27" t="s">
        <v>70</v>
      </c>
      <c r="C85" s="29" t="s">
        <v>324</v>
      </c>
      <c r="D85" s="28" t="s">
        <v>182</v>
      </c>
      <c r="E85" s="29" t="s">
        <v>408</v>
      </c>
      <c r="F85" s="29" t="s">
        <v>183</v>
      </c>
      <c r="G85" s="40">
        <v>39722</v>
      </c>
      <c r="H85" s="29" t="str">
        <f>VLOOKUP(I85,Sheet1!$A$4:$B$20,2,0)</f>
        <v>Penata Tk.I (Gol. III/d)</v>
      </c>
      <c r="I85" s="28" t="s">
        <v>372</v>
      </c>
      <c r="J85" s="30">
        <v>44105</v>
      </c>
      <c r="K85" s="31"/>
      <c r="L85" s="32" t="str">
        <f t="shared" ca="1" si="10"/>
        <v>5 tahun, 9 bulan</v>
      </c>
      <c r="M85" s="30" t="s">
        <v>527</v>
      </c>
      <c r="N85" s="30" t="s">
        <v>1</v>
      </c>
      <c r="O85" s="30">
        <v>25978</v>
      </c>
      <c r="P85" s="43" t="s">
        <v>924</v>
      </c>
      <c r="Q85" s="28" t="s">
        <v>632</v>
      </c>
      <c r="R85" s="35" t="str">
        <f t="shared" ca="1" si="11"/>
        <v>55 tahun</v>
      </c>
      <c r="S85" s="35" t="str">
        <f t="shared" ca="1" si="12"/>
        <v>5 bulan</v>
      </c>
      <c r="T85" s="35" t="str">
        <f t="shared" ca="1" si="13"/>
        <v>15 hari</v>
      </c>
      <c r="U85" s="36" t="str">
        <f ca="1">DATEDIF(G85,$A$2,"Y")&amp;" tahun, "&amp;DATEDIF(G85,$A$2,"Ym")&amp;" bulan"</f>
        <v>17 tahun, 9 bulan</v>
      </c>
      <c r="V85" s="37">
        <f t="shared" si="14"/>
        <v>47178</v>
      </c>
    </row>
    <row r="86" spans="1:22" s="38" customFormat="1" ht="14.55" customHeight="1">
      <c r="A86" s="26">
        <v>83</v>
      </c>
      <c r="B86" s="27" t="s">
        <v>492</v>
      </c>
      <c r="C86" s="29" t="s">
        <v>493</v>
      </c>
      <c r="D86" s="28" t="s">
        <v>182</v>
      </c>
      <c r="E86" s="28" t="s">
        <v>414</v>
      </c>
      <c r="F86" s="29" t="s">
        <v>183</v>
      </c>
      <c r="G86" s="40">
        <v>41883</v>
      </c>
      <c r="H86" s="29" t="str">
        <f>VLOOKUP(I86,Sheet1!$A$4:$B$20,2,0)</f>
        <v>Pengatur (Gol. II/c)</v>
      </c>
      <c r="I86" s="28" t="s">
        <v>369</v>
      </c>
      <c r="J86" s="30">
        <v>44835</v>
      </c>
      <c r="K86" s="31"/>
      <c r="L86" s="32" t="str">
        <f t="shared" ca="1" si="10"/>
        <v>3 tahun, 9 bulan</v>
      </c>
      <c r="M86" s="30" t="s">
        <v>527</v>
      </c>
      <c r="N86" s="30" t="s">
        <v>1</v>
      </c>
      <c r="O86" s="30">
        <v>25912</v>
      </c>
      <c r="P86" s="28" t="s">
        <v>634</v>
      </c>
      <c r="Q86" s="28" t="s">
        <v>633</v>
      </c>
      <c r="R86" s="35" t="str">
        <f t="shared" ca="1" si="11"/>
        <v>55 tahun</v>
      </c>
      <c r="S86" s="35" t="str">
        <f t="shared" ca="1" si="12"/>
        <v>7 bulan</v>
      </c>
      <c r="T86" s="35" t="str">
        <f t="shared" ca="1" si="13"/>
        <v>19 hari</v>
      </c>
      <c r="U86" s="36" t="str">
        <f ca="1">DATEDIF(G86,$A$2,"Y")&amp;" tahun, "&amp;DATEDIF(G86,$A$2,"Ym")&amp;" bulan"</f>
        <v>11 tahun, 10 bulan</v>
      </c>
      <c r="V86" s="37">
        <f t="shared" si="14"/>
        <v>47119</v>
      </c>
    </row>
    <row r="87" spans="1:22" s="38" customFormat="1" ht="14.55" customHeight="1">
      <c r="A87" s="26">
        <v>84</v>
      </c>
      <c r="B87" s="27" t="s">
        <v>71</v>
      </c>
      <c r="C87" s="29" t="s">
        <v>72</v>
      </c>
      <c r="D87" s="28" t="s">
        <v>182</v>
      </c>
      <c r="E87" s="29" t="s">
        <v>394</v>
      </c>
      <c r="F87" s="29" t="s">
        <v>183</v>
      </c>
      <c r="G87" s="40">
        <v>39722</v>
      </c>
      <c r="H87" s="29" t="str">
        <f>VLOOKUP(I87,Sheet1!$A$4:$B$20,2,0)</f>
        <v>Pengatur (Gol. II/c)</v>
      </c>
      <c r="I87" s="28" t="s">
        <v>369</v>
      </c>
      <c r="J87" s="30">
        <v>45200</v>
      </c>
      <c r="K87" s="31"/>
      <c r="L87" s="32" t="str">
        <f t="shared" ca="1" si="10"/>
        <v>2 tahun, 9 bulan</v>
      </c>
      <c r="M87" s="30" t="s">
        <v>527</v>
      </c>
      <c r="N87" s="30" t="s">
        <v>1</v>
      </c>
      <c r="O87" s="30">
        <v>30081</v>
      </c>
      <c r="P87" s="28" t="s">
        <v>636</v>
      </c>
      <c r="Q87" s="28" t="s">
        <v>635</v>
      </c>
      <c r="R87" s="35" t="str">
        <f t="shared" ca="1" si="11"/>
        <v>44 tahun</v>
      </c>
      <c r="S87" s="35" t="str">
        <f t="shared" ca="1" si="12"/>
        <v>2 bulan</v>
      </c>
      <c r="T87" s="35" t="str">
        <f t="shared" ca="1" si="13"/>
        <v>19 hari</v>
      </c>
      <c r="U87" s="36" t="str">
        <f ca="1">DATEDIF(G87,$A$2,"Y")&amp;" tahun, "&amp;DATEDIF(G87,$A$2,"Ym")&amp;" bulan"</f>
        <v>17 tahun, 9 bulan</v>
      </c>
      <c r="V87" s="37">
        <f t="shared" si="14"/>
        <v>51288</v>
      </c>
    </row>
    <row r="88" spans="1:22" s="38" customFormat="1" ht="14.55" customHeight="1">
      <c r="A88" s="26">
        <v>85</v>
      </c>
      <c r="B88" s="27" t="s">
        <v>73</v>
      </c>
      <c r="C88" s="29" t="s">
        <v>74</v>
      </c>
      <c r="D88" s="28" t="s">
        <v>182</v>
      </c>
      <c r="E88" s="29" t="s">
        <v>394</v>
      </c>
      <c r="F88" s="29" t="s">
        <v>183</v>
      </c>
      <c r="G88" s="40">
        <v>40087</v>
      </c>
      <c r="H88" s="29" t="str">
        <f>VLOOKUP(I88,Sheet1!$A$4:$B$20,2,0)</f>
        <v>Pengatur Tk. I (Gol. II/d)</v>
      </c>
      <c r="I88" s="28" t="s">
        <v>370</v>
      </c>
      <c r="J88" s="30">
        <v>45017</v>
      </c>
      <c r="K88" s="31"/>
      <c r="L88" s="32" t="str">
        <f t="shared" ca="1" si="10"/>
        <v>3 tahun, 3 bulan</v>
      </c>
      <c r="M88" s="30" t="s">
        <v>527</v>
      </c>
      <c r="N88" s="30" t="s">
        <v>1</v>
      </c>
      <c r="O88" s="30">
        <v>29200</v>
      </c>
      <c r="P88" s="28" t="s">
        <v>638</v>
      </c>
      <c r="Q88" s="28" t="s">
        <v>637</v>
      </c>
      <c r="R88" s="35" t="str">
        <f t="shared" ca="1" si="11"/>
        <v>46 tahun</v>
      </c>
      <c r="S88" s="35" t="str">
        <f t="shared" ca="1" si="12"/>
        <v>7 bulan</v>
      </c>
      <c r="T88" s="35" t="str">
        <f t="shared" ca="1" si="13"/>
        <v>18 hari</v>
      </c>
      <c r="U88" s="36" t="str">
        <f ca="1">DATEDIF(G88,$A$2,"Y")&amp;" tahun, "&amp;DATEDIF(G88,$A$2,"Ym")&amp;" bulan"</f>
        <v>16 tahun, 9 bulan</v>
      </c>
      <c r="V88" s="37">
        <f t="shared" si="14"/>
        <v>50406</v>
      </c>
    </row>
    <row r="89" spans="1:22" s="38" customFormat="1" ht="14.55" customHeight="1">
      <c r="A89" s="26">
        <v>86</v>
      </c>
      <c r="B89" s="27" t="s">
        <v>75</v>
      </c>
      <c r="C89" s="29" t="s">
        <v>76</v>
      </c>
      <c r="D89" s="28" t="s">
        <v>182</v>
      </c>
      <c r="E89" s="29" t="s">
        <v>410</v>
      </c>
      <c r="F89" s="29" t="s">
        <v>183</v>
      </c>
      <c r="G89" s="40">
        <v>41883</v>
      </c>
      <c r="H89" s="29" t="str">
        <f>VLOOKUP(I89,Sheet1!$A$4:$B$20,2,0)</f>
        <v>Pengatur Muda (Gol. II/a)</v>
      </c>
      <c r="I89" s="28" t="s">
        <v>377</v>
      </c>
      <c r="J89" s="30">
        <v>45017</v>
      </c>
      <c r="K89" s="31"/>
      <c r="L89" s="32" t="str">
        <f t="shared" ca="1" si="10"/>
        <v>3 tahun, 3 bulan</v>
      </c>
      <c r="M89" s="30" t="s">
        <v>527</v>
      </c>
      <c r="N89" s="30" t="s">
        <v>421</v>
      </c>
      <c r="O89" s="30">
        <v>30799</v>
      </c>
      <c r="P89" s="28" t="s">
        <v>640</v>
      </c>
      <c r="Q89" s="28" t="s">
        <v>639</v>
      </c>
      <c r="R89" s="35" t="str">
        <f t="shared" ca="1" si="11"/>
        <v>42 tahun</v>
      </c>
      <c r="S89" s="35" t="str">
        <f t="shared" ca="1" si="12"/>
        <v>3 bulan</v>
      </c>
      <c r="T89" s="35" t="str">
        <f t="shared" ca="1" si="13"/>
        <v>2 hari</v>
      </c>
      <c r="U89" s="36" t="str">
        <f ca="1">DATEDIF(G89,$A$2,"Y")&amp;" tahun, "&amp;DATEDIF(G89,$A$2,"Ym")&amp;" bulan"</f>
        <v>11 tahun, 10 bulan</v>
      </c>
      <c r="V89" s="37">
        <f t="shared" si="14"/>
        <v>51987</v>
      </c>
    </row>
    <row r="90" spans="1:22" s="38" customFormat="1" ht="14.55" customHeight="1">
      <c r="A90" s="26">
        <v>87</v>
      </c>
      <c r="B90" s="27" t="s">
        <v>77</v>
      </c>
      <c r="C90" s="29" t="s">
        <v>78</v>
      </c>
      <c r="D90" s="28" t="s">
        <v>182</v>
      </c>
      <c r="E90" s="29" t="s">
        <v>401</v>
      </c>
      <c r="F90" s="29" t="s">
        <v>183</v>
      </c>
      <c r="G90" s="40">
        <v>40087</v>
      </c>
      <c r="H90" s="29" t="str">
        <f>VLOOKUP(I90,Sheet1!$A$4:$B$20,2,0)</f>
        <v>Penata Muda Tk.I (Gol. III/b)</v>
      </c>
      <c r="I90" s="28" t="s">
        <v>373</v>
      </c>
      <c r="J90" s="30">
        <v>46054</v>
      </c>
      <c r="K90" s="31" t="s">
        <v>907</v>
      </c>
      <c r="L90" s="32" t="str">
        <f t="shared" ca="1" si="10"/>
        <v>0 tahun, 5 bulan</v>
      </c>
      <c r="M90" s="30" t="s">
        <v>527</v>
      </c>
      <c r="N90" s="30" t="s">
        <v>1</v>
      </c>
      <c r="O90" s="30">
        <v>29640</v>
      </c>
      <c r="P90" s="28" t="s">
        <v>642</v>
      </c>
      <c r="Q90" s="28" t="s">
        <v>641</v>
      </c>
      <c r="R90" s="35" t="str">
        <f t="shared" ca="1" si="11"/>
        <v>45 tahun</v>
      </c>
      <c r="S90" s="35" t="str">
        <f t="shared" ca="1" si="12"/>
        <v>5 bulan</v>
      </c>
      <c r="T90" s="35" t="str">
        <f t="shared" ca="1" si="13"/>
        <v>6 hari</v>
      </c>
      <c r="U90" s="36" t="str">
        <f ca="1">DATEDIF(G90,$A$2,"Y")&amp;" tahun, "&amp;DATEDIF(G90,$A$2,"Ym")&amp;" bulan"</f>
        <v>16 tahun, 9 bulan</v>
      </c>
      <c r="V90" s="37">
        <f t="shared" si="14"/>
        <v>50830</v>
      </c>
    </row>
    <row r="91" spans="1:22" s="38" customFormat="1" ht="14.55" customHeight="1">
      <c r="A91" s="26">
        <v>88</v>
      </c>
      <c r="B91" s="27" t="s">
        <v>79</v>
      </c>
      <c r="C91" s="29" t="s">
        <v>184</v>
      </c>
      <c r="D91" s="28" t="s">
        <v>182</v>
      </c>
      <c r="E91" s="29" t="s">
        <v>401</v>
      </c>
      <c r="F91" s="29" t="s">
        <v>183</v>
      </c>
      <c r="G91" s="40">
        <v>39722</v>
      </c>
      <c r="H91" s="29" t="str">
        <f>VLOOKUP(I91,Sheet1!$A$4:$B$20,2,0)</f>
        <v>Penata Muda Tk.I (Gol. III/b)</v>
      </c>
      <c r="I91" s="28" t="s">
        <v>373</v>
      </c>
      <c r="J91" s="30">
        <v>45017</v>
      </c>
      <c r="K91" s="31"/>
      <c r="L91" s="32" t="str">
        <f t="shared" ca="1" si="10"/>
        <v>3 tahun, 3 bulan</v>
      </c>
      <c r="M91" s="30" t="s">
        <v>528</v>
      </c>
      <c r="N91" s="30" t="s">
        <v>1</v>
      </c>
      <c r="O91" s="30">
        <v>27073</v>
      </c>
      <c r="P91" s="28" t="s">
        <v>644</v>
      </c>
      <c r="Q91" s="28" t="s">
        <v>643</v>
      </c>
      <c r="R91" s="35" t="str">
        <f t="shared" ca="1" si="11"/>
        <v>52 tahun</v>
      </c>
      <c r="S91" s="35" t="str">
        <f t="shared" ca="1" si="12"/>
        <v>5 bulan</v>
      </c>
      <c r="T91" s="35" t="str">
        <f t="shared" ca="1" si="13"/>
        <v>16 hari</v>
      </c>
      <c r="U91" s="36" t="str">
        <f ca="1">DATEDIF(G91,$A$2,"Y")&amp;" tahun, "&amp;DATEDIF(G91,$A$2,"Ym")&amp;" bulan"</f>
        <v>17 tahun, 9 bulan</v>
      </c>
      <c r="V91" s="37">
        <f t="shared" si="14"/>
        <v>48274</v>
      </c>
    </row>
    <row r="92" spans="1:22" s="38" customFormat="1" ht="14.55" customHeight="1">
      <c r="A92" s="26">
        <v>89</v>
      </c>
      <c r="B92" s="27" t="s">
        <v>80</v>
      </c>
      <c r="C92" s="29" t="s">
        <v>257</v>
      </c>
      <c r="D92" s="28" t="s">
        <v>182</v>
      </c>
      <c r="E92" s="29" t="s">
        <v>405</v>
      </c>
      <c r="F92" s="29" t="s">
        <v>183</v>
      </c>
      <c r="G92" s="40">
        <v>40087</v>
      </c>
      <c r="H92" s="29" t="str">
        <f>VLOOKUP(I92,Sheet1!$A$4:$B$20,2,0)</f>
        <v>Penata (Gol. III/c)</v>
      </c>
      <c r="I92" s="28" t="s">
        <v>374</v>
      </c>
      <c r="J92" s="30">
        <v>45200</v>
      </c>
      <c r="K92" s="31"/>
      <c r="L92" s="32" t="str">
        <f t="shared" ca="1" si="10"/>
        <v>2 tahun, 9 bulan</v>
      </c>
      <c r="M92" s="30" t="s">
        <v>528</v>
      </c>
      <c r="N92" s="30" t="s">
        <v>420</v>
      </c>
      <c r="O92" s="30">
        <v>28950</v>
      </c>
      <c r="P92" s="28" t="s">
        <v>645</v>
      </c>
      <c r="Q92" s="28" t="s">
        <v>637</v>
      </c>
      <c r="R92" s="35" t="str">
        <f t="shared" ca="1" si="11"/>
        <v>47 tahun</v>
      </c>
      <c r="S92" s="35" t="str">
        <f t="shared" ca="1" si="12"/>
        <v>3 bulan</v>
      </c>
      <c r="T92" s="35" t="str">
        <f t="shared" ca="1" si="13"/>
        <v>24 hari</v>
      </c>
      <c r="U92" s="36" t="str">
        <f ca="1">DATEDIF(G92,$A$2,"Y")&amp;" tahun, "&amp;DATEDIF(G92,$A$2,"Ym")&amp;" bulan"</f>
        <v>16 tahun, 9 bulan</v>
      </c>
      <c r="V92" s="37">
        <f t="shared" si="14"/>
        <v>50161</v>
      </c>
    </row>
    <row r="93" spans="1:22" s="38" customFormat="1" ht="14.55" customHeight="1">
      <c r="A93" s="26">
        <v>90</v>
      </c>
      <c r="B93" s="27" t="s">
        <v>214</v>
      </c>
      <c r="C93" s="29" t="s">
        <v>453</v>
      </c>
      <c r="D93" s="28" t="s">
        <v>186</v>
      </c>
      <c r="E93" s="29" t="s">
        <v>418</v>
      </c>
      <c r="F93" s="29" t="s">
        <v>187</v>
      </c>
      <c r="G93" s="40">
        <v>42401</v>
      </c>
      <c r="H93" s="29" t="str">
        <f>VLOOKUP(I93,Sheet1!$A$4:$B$20,2,0)</f>
        <v>Penata Muda Tk.I (Gol. III/b)</v>
      </c>
      <c r="I93" s="28" t="s">
        <v>373</v>
      </c>
      <c r="J93" s="30">
        <v>44835</v>
      </c>
      <c r="K93" s="31"/>
      <c r="L93" s="32" t="str">
        <f t="shared" ca="1" si="10"/>
        <v>3 tahun, 9 bulan</v>
      </c>
      <c r="M93" s="30" t="s">
        <v>528</v>
      </c>
      <c r="N93" s="30" t="s">
        <v>1</v>
      </c>
      <c r="O93" s="30">
        <v>28810</v>
      </c>
      <c r="P93" s="28" t="s">
        <v>820</v>
      </c>
      <c r="Q93" s="28" t="s">
        <v>819</v>
      </c>
      <c r="R93" s="35" t="str">
        <f t="shared" ca="1" si="11"/>
        <v>47 tahun</v>
      </c>
      <c r="S93" s="35" t="str">
        <f t="shared" ca="1" si="12"/>
        <v>8 bulan</v>
      </c>
      <c r="T93" s="35" t="str">
        <f t="shared" ca="1" si="13"/>
        <v>13 hari</v>
      </c>
      <c r="U93" s="36" t="str">
        <f ca="1">DATEDIF(G93,$A$2,"Y")&amp;" tahun, "&amp;DATEDIF(G93,$A$2,"Ym")&amp;" bulan"</f>
        <v>10 tahun, 5 bulan</v>
      </c>
      <c r="V93" s="37">
        <f t="shared" si="14"/>
        <v>50010</v>
      </c>
    </row>
    <row r="94" spans="1:22" s="38" customFormat="1" ht="14.55" customHeight="1">
      <c r="A94" s="26">
        <v>91</v>
      </c>
      <c r="B94" s="27" t="s">
        <v>81</v>
      </c>
      <c r="C94" s="29" t="s">
        <v>291</v>
      </c>
      <c r="D94" s="28" t="s">
        <v>182</v>
      </c>
      <c r="E94" s="29" t="s">
        <v>949</v>
      </c>
      <c r="F94" s="29" t="s">
        <v>481</v>
      </c>
      <c r="G94" s="40">
        <v>36220</v>
      </c>
      <c r="H94" s="29" t="str">
        <f>VLOOKUP(I94,Sheet1!$A$4:$B$20,2,0)</f>
        <v>Pembina (Gol. IV/a)</v>
      </c>
      <c r="I94" s="28" t="s">
        <v>387</v>
      </c>
      <c r="J94" s="30">
        <v>45200</v>
      </c>
      <c r="K94" s="31"/>
      <c r="L94" s="32" t="str">
        <f t="shared" ca="1" si="10"/>
        <v>2 tahun, 9 bulan</v>
      </c>
      <c r="M94" s="30" t="s">
        <v>528</v>
      </c>
      <c r="N94" s="30" t="s">
        <v>440</v>
      </c>
      <c r="O94" s="30">
        <v>27694</v>
      </c>
      <c r="P94" s="43" t="s">
        <v>647</v>
      </c>
      <c r="Q94" s="43" t="s">
        <v>646</v>
      </c>
      <c r="R94" s="35" t="str">
        <f t="shared" ca="1" si="11"/>
        <v>50 tahun</v>
      </c>
      <c r="S94" s="35" t="str">
        <f t="shared" ca="1" si="12"/>
        <v>9 bulan</v>
      </c>
      <c r="T94" s="35" t="str">
        <f t="shared" ca="1" si="13"/>
        <v>2 hari</v>
      </c>
      <c r="U94" s="36" t="str">
        <f ca="1">DATEDIF(G94,$A$2,"Y")&amp;" tahun, "&amp;DATEDIF(G94,$A$2,"Ym")&amp;" bulan"</f>
        <v>27 tahun, 4 bulan</v>
      </c>
      <c r="V94" s="37">
        <f>DATE(YEAR(O94)+60,MONTH(O94)+1,1)</f>
        <v>49614</v>
      </c>
    </row>
    <row r="95" spans="1:22" s="38" customFormat="1" ht="14.55" customHeight="1">
      <c r="A95" s="26">
        <v>92</v>
      </c>
      <c r="B95" s="27" t="s">
        <v>82</v>
      </c>
      <c r="C95" s="29" t="s">
        <v>207</v>
      </c>
      <c r="D95" s="28" t="s">
        <v>182</v>
      </c>
      <c r="E95" s="29" t="s">
        <v>401</v>
      </c>
      <c r="F95" s="29" t="s">
        <v>183</v>
      </c>
      <c r="G95" s="40">
        <v>40087</v>
      </c>
      <c r="H95" s="29" t="str">
        <f>VLOOKUP(I95,Sheet1!$A$4:$B$20,2,0)</f>
        <v>Penata Muda Tk.I (Gol. III/b)</v>
      </c>
      <c r="I95" s="28" t="s">
        <v>373</v>
      </c>
      <c r="J95" s="30">
        <v>45017</v>
      </c>
      <c r="K95" s="31"/>
      <c r="L95" s="32" t="str">
        <f t="shared" ca="1" si="10"/>
        <v>3 tahun, 3 bulan</v>
      </c>
      <c r="M95" s="30" t="s">
        <v>528</v>
      </c>
      <c r="N95" s="30" t="s">
        <v>1</v>
      </c>
      <c r="O95" s="30">
        <v>28317</v>
      </c>
      <c r="P95" s="28" t="s">
        <v>649</v>
      </c>
      <c r="Q95" s="28" t="s">
        <v>648</v>
      </c>
      <c r="R95" s="35" t="str">
        <f t="shared" ca="1" si="11"/>
        <v>49 tahun</v>
      </c>
      <c r="S95" s="35" t="str">
        <f t="shared" ca="1" si="12"/>
        <v>0 bulan</v>
      </c>
      <c r="T95" s="35" t="str">
        <f t="shared" ca="1" si="13"/>
        <v>18 hari</v>
      </c>
      <c r="U95" s="36" t="str">
        <f ca="1">DATEDIF(G95,$A$2,"Y")&amp;" tahun, "&amp;DATEDIF(G95,$A$2,"Ym")&amp;" bulan"</f>
        <v>16 tahun, 9 bulan</v>
      </c>
      <c r="V95" s="37">
        <f t="shared" ref="V95:V126" si="15">DATE(YEAR(O95)+58,MONTH(O95)+1,1)</f>
        <v>49522</v>
      </c>
    </row>
    <row r="96" spans="1:22" s="38" customFormat="1" ht="14.55" customHeight="1">
      <c r="A96" s="26">
        <v>93</v>
      </c>
      <c r="B96" s="27" t="s">
        <v>83</v>
      </c>
      <c r="C96" s="29" t="s">
        <v>84</v>
      </c>
      <c r="D96" s="28" t="s">
        <v>182</v>
      </c>
      <c r="E96" s="29" t="s">
        <v>395</v>
      </c>
      <c r="F96" s="29" t="s">
        <v>183</v>
      </c>
      <c r="G96" s="40">
        <v>40087</v>
      </c>
      <c r="H96" s="29" t="str">
        <f>VLOOKUP(I96,Sheet1!$A$4:$B$20,2,0)</f>
        <v>Penata Muda (Gol. III/a)</v>
      </c>
      <c r="I96" s="33" t="s">
        <v>367</v>
      </c>
      <c r="J96" s="34">
        <v>45931</v>
      </c>
      <c r="K96" s="31" t="s">
        <v>942</v>
      </c>
      <c r="L96" s="32" t="str">
        <f t="shared" ca="1" si="10"/>
        <v>0 tahun, 9 bulan</v>
      </c>
      <c r="M96" s="30" t="s">
        <v>527</v>
      </c>
      <c r="N96" s="30" t="s">
        <v>1</v>
      </c>
      <c r="O96" s="30">
        <v>26754</v>
      </c>
      <c r="P96" s="28" t="s">
        <v>651</v>
      </c>
      <c r="Q96" s="28" t="s">
        <v>650</v>
      </c>
      <c r="R96" s="35" t="str">
        <f t="shared" ca="1" si="11"/>
        <v>53 tahun</v>
      </c>
      <c r="S96" s="35" t="str">
        <f t="shared" ca="1" si="12"/>
        <v>3 bulan</v>
      </c>
      <c r="T96" s="35" t="str">
        <f t="shared" ca="1" si="13"/>
        <v>28 hari</v>
      </c>
      <c r="U96" s="36" t="str">
        <f ca="1">DATEDIF(G96,$A$2,"Y")&amp;" tahun, "&amp;DATEDIF(G96,$A$2,"Ym")&amp;" bulan"</f>
        <v>16 tahun, 9 bulan</v>
      </c>
      <c r="V96" s="37">
        <f t="shared" si="15"/>
        <v>47939</v>
      </c>
    </row>
    <row r="97" spans="1:22" s="38" customFormat="1" ht="14.55" customHeight="1">
      <c r="A97" s="26">
        <v>94</v>
      </c>
      <c r="B97" s="27" t="s">
        <v>85</v>
      </c>
      <c r="C97" s="29" t="s">
        <v>337</v>
      </c>
      <c r="D97" s="28" t="s">
        <v>182</v>
      </c>
      <c r="E97" s="29" t="s">
        <v>945</v>
      </c>
      <c r="F97" s="29" t="s">
        <v>183</v>
      </c>
      <c r="G97" s="40">
        <v>41883</v>
      </c>
      <c r="H97" s="29" t="str">
        <f>VLOOKUP(I97,Sheet1!$A$4:$B$20,2,0)</f>
        <v>Pengatur (Gol. II/c)</v>
      </c>
      <c r="I97" s="28" t="s">
        <v>369</v>
      </c>
      <c r="J97" s="30">
        <v>45383</v>
      </c>
      <c r="K97" s="31" t="s">
        <v>501</v>
      </c>
      <c r="L97" s="32" t="str">
        <f t="shared" ca="1" si="10"/>
        <v>2 tahun, 3 bulan</v>
      </c>
      <c r="M97" s="30" t="s">
        <v>527</v>
      </c>
      <c r="N97" s="30" t="s">
        <v>1</v>
      </c>
      <c r="O97" s="30">
        <v>31014</v>
      </c>
      <c r="P97" s="28" t="s">
        <v>653</v>
      </c>
      <c r="Q97" s="28" t="s">
        <v>652</v>
      </c>
      <c r="R97" s="35" t="str">
        <f t="shared" ca="1" si="11"/>
        <v>41 tahun</v>
      </c>
      <c r="S97" s="35" t="str">
        <f t="shared" ca="1" si="12"/>
        <v>8 bulan</v>
      </c>
      <c r="T97" s="35" t="str">
        <f t="shared" ca="1" si="13"/>
        <v>1 hari</v>
      </c>
      <c r="U97" s="36" t="str">
        <f ca="1">DATEDIF(G97,$A$2,"Y")&amp;" tahun, "&amp;DATEDIF(G97,$A$2,"Ym")&amp;" bulan"</f>
        <v>11 tahun, 10 bulan</v>
      </c>
      <c r="V97" s="37">
        <f t="shared" si="15"/>
        <v>52201</v>
      </c>
    </row>
    <row r="98" spans="1:22" s="38" customFormat="1" ht="14.55" customHeight="1">
      <c r="A98" s="26">
        <v>95</v>
      </c>
      <c r="B98" s="27" t="s">
        <v>86</v>
      </c>
      <c r="C98" s="29" t="s">
        <v>223</v>
      </c>
      <c r="D98" s="28" t="s">
        <v>182</v>
      </c>
      <c r="E98" s="29" t="s">
        <v>405</v>
      </c>
      <c r="F98" s="29" t="s">
        <v>183</v>
      </c>
      <c r="G98" s="40">
        <v>41883</v>
      </c>
      <c r="H98" s="29" t="str">
        <f>VLOOKUP(I98,Sheet1!$A$4:$B$20,2,0)</f>
        <v>Penata Muda Tk.I (Gol. III/b)</v>
      </c>
      <c r="I98" s="28" t="s">
        <v>373</v>
      </c>
      <c r="J98" s="30">
        <v>44835</v>
      </c>
      <c r="K98" s="31"/>
      <c r="L98" s="32" t="str">
        <f t="shared" ca="1" si="10"/>
        <v>3 tahun, 9 bulan</v>
      </c>
      <c r="M98" s="30" t="s">
        <v>527</v>
      </c>
      <c r="N98" s="30" t="s">
        <v>1</v>
      </c>
      <c r="O98" s="30">
        <v>30192</v>
      </c>
      <c r="P98" s="28" t="s">
        <v>655</v>
      </c>
      <c r="Q98" s="28" t="s">
        <v>654</v>
      </c>
      <c r="R98" s="35" t="str">
        <f t="shared" ca="1" si="11"/>
        <v>43 tahun</v>
      </c>
      <c r="S98" s="35" t="str">
        <f t="shared" ca="1" si="12"/>
        <v>11 bulan</v>
      </c>
      <c r="T98" s="35" t="str">
        <f t="shared" ca="1" si="13"/>
        <v>0 hari</v>
      </c>
      <c r="U98" s="36" t="str">
        <f ca="1">DATEDIF(G98,$A$2,"Y")&amp;" tahun, "&amp;DATEDIF(G98,$A$2,"Ym")&amp;" bulan"</f>
        <v>11 tahun, 10 bulan</v>
      </c>
      <c r="V98" s="37">
        <f t="shared" si="15"/>
        <v>51380</v>
      </c>
    </row>
    <row r="99" spans="1:22" s="38" customFormat="1" ht="14.55" customHeight="1">
      <c r="A99" s="26">
        <v>96</v>
      </c>
      <c r="B99" s="27" t="s">
        <v>87</v>
      </c>
      <c r="C99" s="29" t="s">
        <v>198</v>
      </c>
      <c r="D99" s="28" t="s">
        <v>182</v>
      </c>
      <c r="E99" s="29" t="s">
        <v>376</v>
      </c>
      <c r="F99" s="29" t="s">
        <v>481</v>
      </c>
      <c r="G99" s="40">
        <v>36586</v>
      </c>
      <c r="H99" s="29" t="str">
        <f>VLOOKUP(I99,Sheet1!$A$4:$B$20,2,0)</f>
        <v>Penata Tk.I (Gol. III/d)</v>
      </c>
      <c r="I99" s="28" t="s">
        <v>372</v>
      </c>
      <c r="J99" s="30">
        <v>44835</v>
      </c>
      <c r="K99" s="31"/>
      <c r="L99" s="32" t="str">
        <f t="shared" ca="1" si="10"/>
        <v>3 tahun, 9 bulan</v>
      </c>
      <c r="M99" s="30" t="s">
        <v>528</v>
      </c>
      <c r="N99" s="30" t="s">
        <v>433</v>
      </c>
      <c r="O99" s="30">
        <v>27882</v>
      </c>
      <c r="P99" s="28" t="s">
        <v>657</v>
      </c>
      <c r="Q99" s="28" t="s">
        <v>656</v>
      </c>
      <c r="R99" s="35" t="str">
        <f t="shared" ca="1" si="11"/>
        <v>50 tahun</v>
      </c>
      <c r="S99" s="35" t="str">
        <f t="shared" ca="1" si="12"/>
        <v>2 bulan</v>
      </c>
      <c r="T99" s="35" t="str">
        <f t="shared" ca="1" si="13"/>
        <v>27 hari</v>
      </c>
      <c r="U99" s="36" t="str">
        <f ca="1">DATEDIF(G99,$A$2,"Y")&amp;" tahun, "&amp;DATEDIF(G99,$A$2,"Ym")&amp;" bulan"</f>
        <v>26 tahun, 4 bulan</v>
      </c>
      <c r="V99" s="37">
        <f t="shared" si="15"/>
        <v>49096</v>
      </c>
    </row>
    <row r="100" spans="1:22" s="38" customFormat="1" ht="14.55" customHeight="1">
      <c r="A100" s="26">
        <v>97</v>
      </c>
      <c r="B100" s="27" t="s">
        <v>240</v>
      </c>
      <c r="C100" s="29" t="s">
        <v>241</v>
      </c>
      <c r="D100" s="28" t="s">
        <v>186</v>
      </c>
      <c r="E100" s="29" t="s">
        <v>393</v>
      </c>
      <c r="F100" s="29" t="s">
        <v>187</v>
      </c>
      <c r="G100" s="40">
        <v>43617</v>
      </c>
      <c r="H100" s="29" t="str">
        <f>VLOOKUP(I100,Sheet1!$A$4:$B$20,2,0)</f>
        <v>Pengatur Muda Tk. I (Gol. II/b)</v>
      </c>
      <c r="I100" s="28" t="s">
        <v>368</v>
      </c>
      <c r="J100" s="30">
        <v>45748</v>
      </c>
      <c r="K100" s="31" t="s">
        <v>909</v>
      </c>
      <c r="L100" s="32" t="str">
        <f t="shared" ref="L100:L131" ca="1" si="16">DATEDIF(J100,$A$2,"Y")&amp;" tahun, "&amp;DATEDIF(J100,$A$2,"YM")&amp;" bulan"</f>
        <v>1 tahun, 3 bulan</v>
      </c>
      <c r="M100" s="30" t="s">
        <v>527</v>
      </c>
      <c r="N100" s="30" t="s">
        <v>429</v>
      </c>
      <c r="O100" s="30">
        <v>25112</v>
      </c>
      <c r="P100" s="43" t="s">
        <v>925</v>
      </c>
      <c r="Q100" s="43" t="s">
        <v>821</v>
      </c>
      <c r="R100" s="35" t="str">
        <f t="shared" ref="R100:R131" ca="1" si="17">DATEDIF(O100,$A$2,"Y")&amp;" tahun"</f>
        <v>57 tahun</v>
      </c>
      <c r="S100" s="35" t="str">
        <f t="shared" ref="S100:S131" ca="1" si="18">DATEDIF(O100,$A$2,"YM")&amp;" bulan"</f>
        <v>9 bulan</v>
      </c>
      <c r="T100" s="35" t="str">
        <f t="shared" ref="T100:T131" ca="1" si="19">DATEDIF(O100,$A$2,"MD")&amp;" hari"</f>
        <v>28 hari</v>
      </c>
      <c r="U100" s="36" t="str">
        <f ca="1">DATEDIF(G100,$A$2,"Y")&amp;" tahun, "&amp;DATEDIF(G100,$A$2,"Ym")&amp;" bulan"</f>
        <v>7 tahun, 1 bulan</v>
      </c>
      <c r="V100" s="37">
        <f t="shared" si="15"/>
        <v>46327</v>
      </c>
    </row>
    <row r="101" spans="1:22" s="38" customFormat="1" ht="14.55" customHeight="1">
      <c r="A101" s="26">
        <v>98</v>
      </c>
      <c r="B101" s="27" t="s">
        <v>88</v>
      </c>
      <c r="C101" s="29" t="s">
        <v>89</v>
      </c>
      <c r="D101" s="28" t="s">
        <v>182</v>
      </c>
      <c r="E101" s="29" t="s">
        <v>947</v>
      </c>
      <c r="F101" s="29" t="s">
        <v>481</v>
      </c>
      <c r="G101" s="40">
        <v>37591</v>
      </c>
      <c r="H101" s="29" t="str">
        <f>VLOOKUP(I101,Sheet1!$A$4:$B$20,2,0)</f>
        <v>Pengatur Tk. I (Gol. II/d)</v>
      </c>
      <c r="I101" s="28" t="s">
        <v>370</v>
      </c>
      <c r="J101" s="30">
        <v>43374</v>
      </c>
      <c r="K101" s="31"/>
      <c r="L101" s="32" t="str">
        <f t="shared" ca="1" si="16"/>
        <v>7 tahun, 9 bulan</v>
      </c>
      <c r="M101" s="30" t="s">
        <v>527</v>
      </c>
      <c r="N101" s="30" t="s">
        <v>1</v>
      </c>
      <c r="O101" s="30">
        <v>27727</v>
      </c>
      <c r="P101" s="28" t="s">
        <v>659</v>
      </c>
      <c r="Q101" s="28" t="s">
        <v>658</v>
      </c>
      <c r="R101" s="35" t="str">
        <f t="shared" ca="1" si="17"/>
        <v>50 tahun</v>
      </c>
      <c r="S101" s="35" t="str">
        <f t="shared" ca="1" si="18"/>
        <v>8 bulan</v>
      </c>
      <c r="T101" s="35" t="str">
        <f t="shared" ca="1" si="19"/>
        <v>0 hari</v>
      </c>
      <c r="U101" s="36" t="str">
        <f ca="1">DATEDIF(G101,$A$2,"Y")&amp;" tahun, "&amp;DATEDIF(G101,$A$2,"Ym")&amp;" bulan"</f>
        <v>23 tahun, 7 bulan</v>
      </c>
      <c r="V101" s="37">
        <f t="shared" si="15"/>
        <v>48914</v>
      </c>
    </row>
    <row r="102" spans="1:22" s="38" customFormat="1" ht="14.55" customHeight="1">
      <c r="A102" s="26">
        <v>99</v>
      </c>
      <c r="B102" s="27" t="s">
        <v>90</v>
      </c>
      <c r="C102" s="29" t="s">
        <v>91</v>
      </c>
      <c r="D102" s="28" t="s">
        <v>182</v>
      </c>
      <c r="E102" s="29" t="s">
        <v>395</v>
      </c>
      <c r="F102" s="29" t="s">
        <v>183</v>
      </c>
      <c r="G102" s="40">
        <v>39083</v>
      </c>
      <c r="H102" s="29" t="str">
        <f>VLOOKUP(I102,Sheet1!$A$4:$B$20,2,0)</f>
        <v>Penata Muda (Gol. III/a)</v>
      </c>
      <c r="I102" s="28" t="s">
        <v>367</v>
      </c>
      <c r="J102" s="30">
        <v>45017</v>
      </c>
      <c r="K102" s="31"/>
      <c r="L102" s="32" t="str">
        <f t="shared" ca="1" si="16"/>
        <v>3 tahun, 3 bulan</v>
      </c>
      <c r="M102" s="30" t="s">
        <v>527</v>
      </c>
      <c r="N102" s="30" t="s">
        <v>1</v>
      </c>
      <c r="O102" s="30">
        <v>27372</v>
      </c>
      <c r="P102" s="28" t="s">
        <v>661</v>
      </c>
      <c r="Q102" s="28" t="s">
        <v>660</v>
      </c>
      <c r="R102" s="35" t="str">
        <f t="shared" ca="1" si="17"/>
        <v>51 tahun</v>
      </c>
      <c r="S102" s="35" t="str">
        <f t="shared" ca="1" si="18"/>
        <v>7 bulan</v>
      </c>
      <c r="T102" s="35" t="str">
        <f t="shared" ca="1" si="19"/>
        <v>20 hari</v>
      </c>
      <c r="U102" s="36" t="str">
        <f ca="1">DATEDIF(G102,$A$2,"Y")&amp;" tahun, "&amp;DATEDIF(G102,$A$2,"Ym")&amp;" bulan"</f>
        <v>19 tahun, 6 bulan</v>
      </c>
      <c r="V102" s="37">
        <f t="shared" si="15"/>
        <v>48580</v>
      </c>
    </row>
    <row r="103" spans="1:22" s="38" customFormat="1" ht="14.55" customHeight="1">
      <c r="A103" s="26">
        <v>100</v>
      </c>
      <c r="B103" s="27" t="s">
        <v>260</v>
      </c>
      <c r="C103" s="29" t="s">
        <v>261</v>
      </c>
      <c r="D103" s="28" t="s">
        <v>186</v>
      </c>
      <c r="E103" s="29" t="s">
        <v>401</v>
      </c>
      <c r="F103" s="29" t="s">
        <v>187</v>
      </c>
      <c r="G103" s="40">
        <v>42401</v>
      </c>
      <c r="H103" s="29" t="str">
        <f>VLOOKUP(I103,Sheet1!$A$4:$B$20,2,0)</f>
        <v>Pengatur (Gol. II/c)</v>
      </c>
      <c r="I103" s="33" t="s">
        <v>369</v>
      </c>
      <c r="J103" s="30">
        <v>45748</v>
      </c>
      <c r="K103" s="31" t="s">
        <v>505</v>
      </c>
      <c r="L103" s="32" t="str">
        <f t="shared" ca="1" si="16"/>
        <v>1 tahun, 3 bulan</v>
      </c>
      <c r="M103" s="30" t="s">
        <v>527</v>
      </c>
      <c r="N103" s="30" t="s">
        <v>1</v>
      </c>
      <c r="O103" s="30">
        <v>30449</v>
      </c>
      <c r="P103" s="28" t="s">
        <v>823</v>
      </c>
      <c r="Q103" s="28" t="s">
        <v>822</v>
      </c>
      <c r="R103" s="35" t="str">
        <f t="shared" ca="1" si="17"/>
        <v>43 tahun</v>
      </c>
      <c r="S103" s="35" t="str">
        <f t="shared" ca="1" si="18"/>
        <v>2 bulan</v>
      </c>
      <c r="T103" s="35" t="str">
        <f t="shared" ca="1" si="19"/>
        <v>16 hari</v>
      </c>
      <c r="U103" s="36" t="str">
        <f ca="1">DATEDIF(G103,$A$2,"Y")&amp;" tahun, "&amp;DATEDIF(G103,$A$2,"Ym")&amp;" bulan"</f>
        <v>10 tahun, 5 bulan</v>
      </c>
      <c r="V103" s="37">
        <f t="shared" si="15"/>
        <v>51653</v>
      </c>
    </row>
    <row r="104" spans="1:22" s="38" customFormat="1" ht="14.55" customHeight="1">
      <c r="A104" s="26">
        <v>101</v>
      </c>
      <c r="B104" s="44" t="s">
        <v>534</v>
      </c>
      <c r="C104" s="29" t="s">
        <v>898</v>
      </c>
      <c r="D104" s="28" t="s">
        <v>186</v>
      </c>
      <c r="E104" s="29" t="s">
        <v>947</v>
      </c>
      <c r="F104" s="29" t="s">
        <v>485</v>
      </c>
      <c r="G104" s="40">
        <v>45505</v>
      </c>
      <c r="H104" s="29" t="str">
        <f>VLOOKUP(I104,Sheet1!$A$4:$B$20,2,0)</f>
        <v>Pengatur (Gol. II/c)</v>
      </c>
      <c r="I104" s="28" t="s">
        <v>369</v>
      </c>
      <c r="J104" s="28" t="s">
        <v>882</v>
      </c>
      <c r="K104" s="31"/>
      <c r="L104" s="32" t="str">
        <f t="shared" ca="1" si="16"/>
        <v>1 tahun, 11 bulan</v>
      </c>
      <c r="M104" s="30" t="s">
        <v>528</v>
      </c>
      <c r="N104" s="30" t="s">
        <v>1</v>
      </c>
      <c r="O104" s="30">
        <v>34343</v>
      </c>
      <c r="P104" s="28" t="s">
        <v>889</v>
      </c>
      <c r="Q104" s="28"/>
      <c r="R104" s="35" t="str">
        <f t="shared" ca="1" si="17"/>
        <v>32 tahun</v>
      </c>
      <c r="S104" s="35" t="str">
        <f t="shared" ca="1" si="18"/>
        <v>6 bulan</v>
      </c>
      <c r="T104" s="35" t="str">
        <f t="shared" ca="1" si="19"/>
        <v>20 hari</v>
      </c>
      <c r="U104" s="36" t="str">
        <f ca="1">DATEDIF(G104,$A$2,"Y")&amp;" tahun, "&amp;DATEDIF(G104,$A$2,"Ym")&amp;" bulan"</f>
        <v>1 tahun, 11 bulan</v>
      </c>
      <c r="V104" s="37">
        <f t="shared" si="15"/>
        <v>55550</v>
      </c>
    </row>
    <row r="105" spans="1:22" s="38" customFormat="1" ht="14.55" customHeight="1">
      <c r="A105" s="26">
        <v>102</v>
      </c>
      <c r="B105" s="27" t="s">
        <v>251</v>
      </c>
      <c r="C105" s="29" t="s">
        <v>252</v>
      </c>
      <c r="D105" s="28" t="s">
        <v>186</v>
      </c>
      <c r="E105" s="29" t="s">
        <v>398</v>
      </c>
      <c r="F105" s="29" t="s">
        <v>187</v>
      </c>
      <c r="G105" s="40">
        <v>42401</v>
      </c>
      <c r="H105" s="29" t="str">
        <f>VLOOKUP(I105,Sheet1!$A$4:$B$20,2,0)</f>
        <v>Pengatur (Gol. II/c)</v>
      </c>
      <c r="I105" s="33" t="s">
        <v>369</v>
      </c>
      <c r="J105" s="30">
        <v>45748</v>
      </c>
      <c r="K105" s="31" t="s">
        <v>913</v>
      </c>
      <c r="L105" s="32" t="str">
        <f t="shared" ca="1" si="16"/>
        <v>1 tahun, 3 bulan</v>
      </c>
      <c r="M105" s="30" t="s">
        <v>527</v>
      </c>
      <c r="N105" s="30" t="s">
        <v>421</v>
      </c>
      <c r="O105" s="30">
        <v>33349</v>
      </c>
      <c r="P105" s="28" t="s">
        <v>825</v>
      </c>
      <c r="Q105" s="28" t="s">
        <v>824</v>
      </c>
      <c r="R105" s="35" t="str">
        <f t="shared" ca="1" si="17"/>
        <v>35 tahun</v>
      </c>
      <c r="S105" s="35" t="str">
        <f t="shared" ca="1" si="18"/>
        <v>3 bulan</v>
      </c>
      <c r="T105" s="35" t="str">
        <f t="shared" ca="1" si="19"/>
        <v>8 hari</v>
      </c>
      <c r="U105" s="36" t="str">
        <f ca="1">DATEDIF(G105,$A$2,"Y")&amp;" tahun, "&amp;DATEDIF(G105,$A$2,"Ym")&amp;" bulan"</f>
        <v>10 tahun, 5 bulan</v>
      </c>
      <c r="V105" s="37">
        <f t="shared" si="15"/>
        <v>54544</v>
      </c>
    </row>
    <row r="106" spans="1:22" s="38" customFormat="1" ht="14.55" customHeight="1">
      <c r="A106" s="26">
        <v>103</v>
      </c>
      <c r="B106" s="27" t="s">
        <v>191</v>
      </c>
      <c r="C106" s="29" t="s">
        <v>192</v>
      </c>
      <c r="D106" s="28" t="s">
        <v>186</v>
      </c>
      <c r="E106" s="29" t="s">
        <v>948</v>
      </c>
      <c r="F106" s="29" t="s">
        <v>485</v>
      </c>
      <c r="G106" s="40">
        <v>42401</v>
      </c>
      <c r="H106" s="29" t="str">
        <f>VLOOKUP(I106,Sheet1!$A$4:$B$20,2,0)</f>
        <v>Penata Muda Tk.I (Gol. III/b)</v>
      </c>
      <c r="I106" s="28" t="s">
        <v>373</v>
      </c>
      <c r="J106" s="30">
        <v>45931</v>
      </c>
      <c r="K106" s="31"/>
      <c r="L106" s="32" t="str">
        <f t="shared" ca="1" si="16"/>
        <v>0 tahun, 9 bulan</v>
      </c>
      <c r="M106" s="30" t="s">
        <v>528</v>
      </c>
      <c r="N106" s="30" t="s">
        <v>1</v>
      </c>
      <c r="O106" s="30">
        <v>30994</v>
      </c>
      <c r="P106" s="43" t="s">
        <v>827</v>
      </c>
      <c r="Q106" s="28" t="s">
        <v>826</v>
      </c>
      <c r="R106" s="35" t="str">
        <f t="shared" ca="1" si="17"/>
        <v>41 tahun</v>
      </c>
      <c r="S106" s="35" t="str">
        <f t="shared" ca="1" si="18"/>
        <v>8 bulan</v>
      </c>
      <c r="T106" s="35" t="str">
        <f t="shared" ca="1" si="19"/>
        <v>21 hari</v>
      </c>
      <c r="U106" s="36" t="str">
        <f ca="1">DATEDIF(G106,$A$2,"Y")&amp;" tahun, "&amp;DATEDIF(G106,$A$2,"Ym")&amp;" bulan"</f>
        <v>10 tahun, 5 bulan</v>
      </c>
      <c r="V106" s="37">
        <f t="shared" si="15"/>
        <v>52201</v>
      </c>
    </row>
    <row r="107" spans="1:22" s="38" customFormat="1" ht="14.55" customHeight="1">
      <c r="A107" s="26">
        <v>104</v>
      </c>
      <c r="B107" s="27" t="s">
        <v>92</v>
      </c>
      <c r="C107" s="29" t="s">
        <v>93</v>
      </c>
      <c r="D107" s="28" t="s">
        <v>182</v>
      </c>
      <c r="E107" s="29" t="s">
        <v>393</v>
      </c>
      <c r="F107" s="29" t="s">
        <v>183</v>
      </c>
      <c r="G107" s="40">
        <v>40087</v>
      </c>
      <c r="H107" s="29" t="str">
        <f>VLOOKUP(I107,Sheet1!$A$4:$B$20,2,0)</f>
        <v>Pengatur (Gol. II/c)</v>
      </c>
      <c r="I107" s="33" t="s">
        <v>369</v>
      </c>
      <c r="J107" s="34">
        <v>45931</v>
      </c>
      <c r="K107" s="31" t="s">
        <v>943</v>
      </c>
      <c r="L107" s="32" t="str">
        <f t="shared" ca="1" si="16"/>
        <v>0 tahun, 9 bulan</v>
      </c>
      <c r="M107" s="30" t="s">
        <v>527</v>
      </c>
      <c r="N107" s="30" t="s">
        <v>441</v>
      </c>
      <c r="O107" s="30">
        <v>26572</v>
      </c>
      <c r="P107" s="28" t="s">
        <v>663</v>
      </c>
      <c r="Q107" s="28" t="s">
        <v>662</v>
      </c>
      <c r="R107" s="35" t="str">
        <f t="shared" ca="1" si="17"/>
        <v>53 tahun</v>
      </c>
      <c r="S107" s="35" t="str">
        <f t="shared" ca="1" si="18"/>
        <v>9 bulan</v>
      </c>
      <c r="T107" s="35" t="str">
        <f t="shared" ca="1" si="19"/>
        <v>29 hari</v>
      </c>
      <c r="U107" s="36" t="str">
        <f ca="1">DATEDIF(G107,$A$2,"Y")&amp;" tahun, "&amp;DATEDIF(G107,$A$2,"Ym")&amp;" bulan"</f>
        <v>16 tahun, 9 bulan</v>
      </c>
      <c r="V107" s="37">
        <f t="shared" si="15"/>
        <v>47757</v>
      </c>
    </row>
    <row r="108" spans="1:22" s="38" customFormat="1" ht="14.55" customHeight="1">
      <c r="A108" s="26">
        <v>105</v>
      </c>
      <c r="B108" s="27" t="s">
        <v>94</v>
      </c>
      <c r="C108" s="29" t="s">
        <v>95</v>
      </c>
      <c r="D108" s="28" t="s">
        <v>182</v>
      </c>
      <c r="E108" s="29" t="s">
        <v>409</v>
      </c>
      <c r="F108" s="29" t="s">
        <v>183</v>
      </c>
      <c r="G108" s="40">
        <v>39083</v>
      </c>
      <c r="H108" s="29" t="str">
        <f>VLOOKUP(I108,Sheet1!$A$4:$B$20,2,0)</f>
        <v>Pengatur Tk. I (Gol. II/d)</v>
      </c>
      <c r="I108" s="28" t="s">
        <v>370</v>
      </c>
      <c r="J108" s="30">
        <v>45383</v>
      </c>
      <c r="K108" s="31" t="s">
        <v>502</v>
      </c>
      <c r="L108" s="32" t="str">
        <f t="shared" ca="1" si="16"/>
        <v>2 tahun, 3 bulan</v>
      </c>
      <c r="M108" s="30" t="s">
        <v>527</v>
      </c>
      <c r="N108" s="30" t="s">
        <v>442</v>
      </c>
      <c r="O108" s="30">
        <v>26087</v>
      </c>
      <c r="P108" s="28" t="s">
        <v>665</v>
      </c>
      <c r="Q108" s="28" t="s">
        <v>664</v>
      </c>
      <c r="R108" s="35" t="str">
        <f t="shared" ca="1" si="17"/>
        <v>55 tahun</v>
      </c>
      <c r="S108" s="35" t="str">
        <f t="shared" ca="1" si="18"/>
        <v>1 bulan</v>
      </c>
      <c r="T108" s="35" t="str">
        <f t="shared" ca="1" si="19"/>
        <v>26 hari</v>
      </c>
      <c r="U108" s="36" t="str">
        <f ca="1">DATEDIF(G108,$A$2,"Y")&amp;" tahun, "&amp;DATEDIF(G108,$A$2,"Ym")&amp;" bulan"</f>
        <v>19 tahun, 6 bulan</v>
      </c>
      <c r="V108" s="37">
        <f t="shared" si="15"/>
        <v>47300</v>
      </c>
    </row>
    <row r="109" spans="1:22" s="38" customFormat="1" ht="14.55" customHeight="1">
      <c r="A109" s="26">
        <v>106</v>
      </c>
      <c r="B109" s="27" t="s">
        <v>96</v>
      </c>
      <c r="C109" s="29" t="s">
        <v>264</v>
      </c>
      <c r="D109" s="28" t="s">
        <v>182</v>
      </c>
      <c r="E109" s="29" t="s">
        <v>955</v>
      </c>
      <c r="F109" s="29" t="s">
        <v>183</v>
      </c>
      <c r="G109" s="40">
        <v>40087</v>
      </c>
      <c r="H109" s="29" t="str">
        <f>VLOOKUP(I109,Sheet1!$A$4:$B$20,2,0)</f>
        <v>Penata Muda Tk.I (Gol. III/b)</v>
      </c>
      <c r="I109" s="28" t="s">
        <v>373</v>
      </c>
      <c r="J109" s="30">
        <v>44835</v>
      </c>
      <c r="K109" s="31"/>
      <c r="L109" s="32" t="str">
        <f t="shared" ca="1" si="16"/>
        <v>3 tahun, 9 bulan</v>
      </c>
      <c r="M109" s="30" t="s">
        <v>527</v>
      </c>
      <c r="N109" s="30" t="s">
        <v>443</v>
      </c>
      <c r="O109" s="30">
        <v>28822</v>
      </c>
      <c r="P109" s="28" t="s">
        <v>667</v>
      </c>
      <c r="Q109" s="28" t="s">
        <v>666</v>
      </c>
      <c r="R109" s="35" t="str">
        <f t="shared" ca="1" si="17"/>
        <v>47 tahun</v>
      </c>
      <c r="S109" s="35" t="str">
        <f t="shared" ca="1" si="18"/>
        <v>8 bulan</v>
      </c>
      <c r="T109" s="35" t="str">
        <f t="shared" ca="1" si="19"/>
        <v>1 hari</v>
      </c>
      <c r="U109" s="36" t="str">
        <f ca="1">DATEDIF(G109,$A$2,"Y")&amp;" tahun, "&amp;DATEDIF(G109,$A$2,"Ym")&amp;" bulan"</f>
        <v>16 tahun, 9 bulan</v>
      </c>
      <c r="V109" s="37">
        <f t="shared" si="15"/>
        <v>50010</v>
      </c>
    </row>
    <row r="110" spans="1:22" s="38" customFormat="1" ht="14.55" customHeight="1">
      <c r="A110" s="26">
        <v>107</v>
      </c>
      <c r="B110" s="27" t="s">
        <v>97</v>
      </c>
      <c r="C110" s="29" t="s">
        <v>275</v>
      </c>
      <c r="D110" s="28" t="s">
        <v>182</v>
      </c>
      <c r="E110" s="29" t="s">
        <v>402</v>
      </c>
      <c r="F110" s="29" t="s">
        <v>183</v>
      </c>
      <c r="G110" s="40">
        <v>37226</v>
      </c>
      <c r="H110" s="29" t="str">
        <f>VLOOKUP(I110,Sheet1!$A$4:$B$20,2,0)</f>
        <v>Penata Muda Tk.I (Gol. III/b)</v>
      </c>
      <c r="I110" s="28" t="s">
        <v>373</v>
      </c>
      <c r="J110" s="30">
        <v>44835</v>
      </c>
      <c r="K110" s="31"/>
      <c r="L110" s="32" t="str">
        <f t="shared" ca="1" si="16"/>
        <v>3 tahun, 9 bulan</v>
      </c>
      <c r="M110" s="30" t="s">
        <v>527</v>
      </c>
      <c r="N110" s="30" t="s">
        <v>444</v>
      </c>
      <c r="O110" s="30">
        <v>28851</v>
      </c>
      <c r="P110" s="28" t="s">
        <v>669</v>
      </c>
      <c r="Q110" s="28" t="s">
        <v>668</v>
      </c>
      <c r="R110" s="35" t="str">
        <f t="shared" ca="1" si="17"/>
        <v>47 tahun</v>
      </c>
      <c r="S110" s="35" t="str">
        <f t="shared" ca="1" si="18"/>
        <v>7 bulan</v>
      </c>
      <c r="T110" s="35" t="str">
        <f t="shared" ca="1" si="19"/>
        <v>2 hari</v>
      </c>
      <c r="U110" s="36" t="str">
        <f ca="1">DATEDIF(G110,$A$2,"Y")&amp;" tahun, "&amp;DATEDIF(G110,$A$2,"Ym")&amp;" bulan"</f>
        <v>24 tahun, 7 bulan</v>
      </c>
      <c r="V110" s="37">
        <f t="shared" si="15"/>
        <v>50041</v>
      </c>
    </row>
    <row r="111" spans="1:22" s="38" customFormat="1" ht="14.55" customHeight="1">
      <c r="A111" s="26">
        <v>108</v>
      </c>
      <c r="B111" s="27" t="s">
        <v>236</v>
      </c>
      <c r="C111" s="29" t="s">
        <v>237</v>
      </c>
      <c r="D111" s="28" t="s">
        <v>186</v>
      </c>
      <c r="E111" s="29" t="s">
        <v>405</v>
      </c>
      <c r="F111" s="29" t="s">
        <v>187</v>
      </c>
      <c r="G111" s="40">
        <v>42401</v>
      </c>
      <c r="H111" s="29" t="str">
        <f>VLOOKUP(I111,Sheet1!$A$4:$B$20,2,0)</f>
        <v>Penata Muda Tk.I (Gol. III/b)</v>
      </c>
      <c r="I111" s="28" t="s">
        <v>373</v>
      </c>
      <c r="J111" s="30">
        <v>45017</v>
      </c>
      <c r="K111" s="31"/>
      <c r="L111" s="32" t="str">
        <f t="shared" ca="1" si="16"/>
        <v>3 tahun, 3 bulan</v>
      </c>
      <c r="M111" s="30" t="s">
        <v>528</v>
      </c>
      <c r="N111" s="30" t="s">
        <v>445</v>
      </c>
      <c r="O111" s="30">
        <v>30938</v>
      </c>
      <c r="P111" s="28" t="s">
        <v>829</v>
      </c>
      <c r="Q111" s="28" t="s">
        <v>828</v>
      </c>
      <c r="R111" s="35" t="str">
        <f t="shared" ca="1" si="17"/>
        <v>41 tahun</v>
      </c>
      <c r="S111" s="35" t="str">
        <f t="shared" ca="1" si="18"/>
        <v>10 bulan</v>
      </c>
      <c r="T111" s="35" t="str">
        <f t="shared" ca="1" si="19"/>
        <v>16 hari</v>
      </c>
      <c r="U111" s="36" t="str">
        <f ca="1">DATEDIF(G111,$A$2,"Y")&amp;" tahun, "&amp;DATEDIF(G111,$A$2,"Ym")&amp;" bulan"</f>
        <v>10 tahun, 5 bulan</v>
      </c>
      <c r="V111" s="37">
        <f t="shared" si="15"/>
        <v>52140</v>
      </c>
    </row>
    <row r="112" spans="1:22" s="38" customFormat="1" ht="14.55" customHeight="1">
      <c r="A112" s="26">
        <v>109</v>
      </c>
      <c r="B112" s="27" t="s">
        <v>98</v>
      </c>
      <c r="C112" s="29" t="s">
        <v>99</v>
      </c>
      <c r="D112" s="28" t="s">
        <v>182</v>
      </c>
      <c r="E112" s="29" t="s">
        <v>410</v>
      </c>
      <c r="F112" s="29" t="s">
        <v>183</v>
      </c>
      <c r="G112" s="40">
        <v>40087</v>
      </c>
      <c r="H112" s="29" t="str">
        <f>VLOOKUP(I112,Sheet1!$A$4:$B$20,2,0)</f>
        <v>Penata Muda (Gol. III/a)</v>
      </c>
      <c r="I112" s="28" t="s">
        <v>367</v>
      </c>
      <c r="J112" s="30">
        <v>45931</v>
      </c>
      <c r="K112" s="31" t="s">
        <v>516</v>
      </c>
      <c r="L112" s="32" t="str">
        <f t="shared" ca="1" si="16"/>
        <v>0 tahun, 9 bulan</v>
      </c>
      <c r="M112" s="30" t="s">
        <v>528</v>
      </c>
      <c r="N112" s="30" t="s">
        <v>1</v>
      </c>
      <c r="O112" s="30">
        <v>25956</v>
      </c>
      <c r="P112" s="28" t="s">
        <v>671</v>
      </c>
      <c r="Q112" s="28" t="s">
        <v>670</v>
      </c>
      <c r="R112" s="35" t="str">
        <f t="shared" ca="1" si="17"/>
        <v>55 tahun</v>
      </c>
      <c r="S112" s="35" t="str">
        <f t="shared" ca="1" si="18"/>
        <v>6 bulan</v>
      </c>
      <c r="T112" s="35" t="str">
        <f t="shared" ca="1" si="19"/>
        <v>6 hari</v>
      </c>
      <c r="U112" s="36" t="str">
        <f ca="1">DATEDIF(G112,$A$2,"Y")&amp;" tahun, "&amp;DATEDIF(G112,$A$2,"Ym")&amp;" bulan"</f>
        <v>16 tahun, 9 bulan</v>
      </c>
      <c r="V112" s="37">
        <f t="shared" si="15"/>
        <v>47150</v>
      </c>
    </row>
    <row r="113" spans="1:22" s="38" customFormat="1" ht="14.55" customHeight="1">
      <c r="A113" s="26">
        <v>110</v>
      </c>
      <c r="B113" s="27" t="s">
        <v>100</v>
      </c>
      <c r="C113" s="29" t="s">
        <v>101</v>
      </c>
      <c r="D113" s="28" t="s">
        <v>182</v>
      </c>
      <c r="E113" s="29" t="s">
        <v>394</v>
      </c>
      <c r="F113" s="29" t="s">
        <v>183</v>
      </c>
      <c r="G113" s="40">
        <v>38353</v>
      </c>
      <c r="H113" s="29" t="str">
        <f>VLOOKUP(I113,Sheet1!$A$4:$B$20,2,0)</f>
        <v>Penata Muda Tk.I (Gol. III/b)</v>
      </c>
      <c r="I113" s="28" t="s">
        <v>373</v>
      </c>
      <c r="J113" s="30">
        <v>45748</v>
      </c>
      <c r="K113" s="31" t="s">
        <v>903</v>
      </c>
      <c r="L113" s="32" t="str">
        <f t="shared" ca="1" si="16"/>
        <v>1 tahun, 3 bulan</v>
      </c>
      <c r="M113" s="30" t="s">
        <v>527</v>
      </c>
      <c r="N113" s="30" t="s">
        <v>1</v>
      </c>
      <c r="O113" s="30">
        <v>25734</v>
      </c>
      <c r="P113" s="43" t="s">
        <v>926</v>
      </c>
      <c r="Q113" s="28" t="s">
        <v>672</v>
      </c>
      <c r="R113" s="35" t="str">
        <f t="shared" ca="1" si="17"/>
        <v>56 tahun</v>
      </c>
      <c r="S113" s="35" t="str">
        <f t="shared" ca="1" si="18"/>
        <v>1 bulan</v>
      </c>
      <c r="T113" s="35" t="str">
        <f t="shared" ca="1" si="19"/>
        <v>14 hari</v>
      </c>
      <c r="U113" s="36" t="str">
        <f ca="1">DATEDIF(G113,$A$2,"Y")&amp;" tahun, "&amp;DATEDIF(G113,$A$2,"Ym")&amp;" bulan"</f>
        <v>21 tahun, 6 bulan</v>
      </c>
      <c r="V113" s="37">
        <f t="shared" si="15"/>
        <v>46935</v>
      </c>
    </row>
    <row r="114" spans="1:22" s="38" customFormat="1" ht="14.55" customHeight="1">
      <c r="A114" s="26">
        <v>111</v>
      </c>
      <c r="B114" s="27" t="s">
        <v>262</v>
      </c>
      <c r="C114" s="29" t="s">
        <v>263</v>
      </c>
      <c r="D114" s="28" t="s">
        <v>186</v>
      </c>
      <c r="E114" s="29" t="s">
        <v>405</v>
      </c>
      <c r="F114" s="29" t="s">
        <v>187</v>
      </c>
      <c r="G114" s="40">
        <v>42401</v>
      </c>
      <c r="H114" s="29" t="str">
        <f>VLOOKUP(I114,Sheet1!$A$4:$B$20,2,0)</f>
        <v>Pengatur (Gol. II/c)</v>
      </c>
      <c r="I114" s="33" t="s">
        <v>369</v>
      </c>
      <c r="J114" s="30">
        <v>45748</v>
      </c>
      <c r="K114" s="31" t="s">
        <v>913</v>
      </c>
      <c r="L114" s="32" t="str">
        <f t="shared" ca="1" si="16"/>
        <v>1 tahun, 3 bulan</v>
      </c>
      <c r="M114" s="30" t="s">
        <v>527</v>
      </c>
      <c r="N114" s="30" t="s">
        <v>430</v>
      </c>
      <c r="O114" s="30">
        <v>32014</v>
      </c>
      <c r="P114" s="28" t="s">
        <v>831</v>
      </c>
      <c r="Q114" s="28" t="s">
        <v>830</v>
      </c>
      <c r="R114" s="35" t="str">
        <f t="shared" ca="1" si="17"/>
        <v>38 tahun</v>
      </c>
      <c r="S114" s="35" t="str">
        <f t="shared" ca="1" si="18"/>
        <v>11 bulan</v>
      </c>
      <c r="T114" s="35" t="str">
        <f t="shared" ca="1" si="19"/>
        <v>4 hari</v>
      </c>
      <c r="U114" s="36" t="str">
        <f ca="1">DATEDIF(G114,$A$2,"Y")&amp;" tahun, "&amp;DATEDIF(G114,$A$2,"Ym")&amp;" bulan"</f>
        <v>10 tahun, 5 bulan</v>
      </c>
      <c r="V114" s="37">
        <f t="shared" si="15"/>
        <v>53206</v>
      </c>
    </row>
    <row r="115" spans="1:22" s="38" customFormat="1" ht="14.55" customHeight="1">
      <c r="A115" s="26">
        <v>112</v>
      </c>
      <c r="B115" s="27" t="s">
        <v>358</v>
      </c>
      <c r="C115" s="29" t="s">
        <v>359</v>
      </c>
      <c r="D115" s="28" t="s">
        <v>182</v>
      </c>
      <c r="E115" s="29" t="s">
        <v>961</v>
      </c>
      <c r="F115" s="29" t="s">
        <v>183</v>
      </c>
      <c r="G115" s="40">
        <v>38808</v>
      </c>
      <c r="H115" s="29" t="str">
        <f>VLOOKUP(I115,Sheet1!$A$4:$B$20,2,0)</f>
        <v>Penata Tk.I (Gol. III/d)</v>
      </c>
      <c r="I115" s="28" t="s">
        <v>372</v>
      </c>
      <c r="J115" s="30">
        <v>43191</v>
      </c>
      <c r="K115" s="31"/>
      <c r="L115" s="32" t="str">
        <f t="shared" ca="1" si="16"/>
        <v>8 tahun, 3 bulan</v>
      </c>
      <c r="M115" s="30" t="s">
        <v>528</v>
      </c>
      <c r="N115" s="30" t="s">
        <v>1</v>
      </c>
      <c r="O115" s="30">
        <v>26328</v>
      </c>
      <c r="P115" s="28" t="s">
        <v>674</v>
      </c>
      <c r="Q115" s="28" t="s">
        <v>673</v>
      </c>
      <c r="R115" s="35" t="str">
        <f t="shared" ca="1" si="17"/>
        <v>54 tahun</v>
      </c>
      <c r="S115" s="35" t="str">
        <f t="shared" ca="1" si="18"/>
        <v>5 bulan</v>
      </c>
      <c r="T115" s="35" t="str">
        <f t="shared" ca="1" si="19"/>
        <v>29 hari</v>
      </c>
      <c r="U115" s="36" t="str">
        <f ca="1">DATEDIF(G115,$A$2,"Y")&amp;" tahun, "&amp;DATEDIF(G115,$A$2,"Ym")&amp;" bulan"</f>
        <v>20 tahun, 3 bulan</v>
      </c>
      <c r="V115" s="37">
        <f t="shared" si="15"/>
        <v>47515</v>
      </c>
    </row>
    <row r="116" spans="1:22" s="38" customFormat="1" ht="14.55" customHeight="1">
      <c r="A116" s="26">
        <v>113</v>
      </c>
      <c r="B116" s="27" t="s">
        <v>209</v>
      </c>
      <c r="C116" s="29" t="s">
        <v>486</v>
      </c>
      <c r="D116" s="28" t="s">
        <v>186</v>
      </c>
      <c r="E116" s="29" t="s">
        <v>950</v>
      </c>
      <c r="F116" s="29" t="s">
        <v>187</v>
      </c>
      <c r="G116" s="40">
        <v>42401</v>
      </c>
      <c r="H116" s="29" t="str">
        <f>VLOOKUP(I116,Sheet1!$A$4:$B$20,2,0)</f>
        <v>Pengatur Tk. I (Gol. II/d)</v>
      </c>
      <c r="I116" s="28" t="s">
        <v>370</v>
      </c>
      <c r="J116" s="30">
        <v>45931</v>
      </c>
      <c r="K116" s="31" t="s">
        <v>934</v>
      </c>
      <c r="L116" s="32" t="str">
        <f t="shared" ca="1" si="16"/>
        <v>0 tahun, 9 bulan</v>
      </c>
      <c r="M116" s="30" t="s">
        <v>528</v>
      </c>
      <c r="N116" s="30" t="s">
        <v>1</v>
      </c>
      <c r="O116" s="30">
        <v>30263</v>
      </c>
      <c r="P116" s="28" t="s">
        <v>833</v>
      </c>
      <c r="Q116" s="28" t="s">
        <v>832</v>
      </c>
      <c r="R116" s="35" t="str">
        <f t="shared" ca="1" si="17"/>
        <v>43 tahun</v>
      </c>
      <c r="S116" s="35" t="str">
        <f t="shared" ca="1" si="18"/>
        <v>8 bulan</v>
      </c>
      <c r="T116" s="35" t="str">
        <f t="shared" ca="1" si="19"/>
        <v>21 hari</v>
      </c>
      <c r="U116" s="36" t="str">
        <f ca="1">DATEDIF(G116,$A$2,"Y")&amp;" tahun, "&amp;DATEDIF(G116,$A$2,"Ym")&amp;" bulan"</f>
        <v>10 tahun, 5 bulan</v>
      </c>
      <c r="V116" s="37">
        <f t="shared" si="15"/>
        <v>51471</v>
      </c>
    </row>
    <row r="117" spans="1:22" s="38" customFormat="1" ht="14.55" customHeight="1">
      <c r="A117" s="26">
        <v>114</v>
      </c>
      <c r="B117" s="27" t="s">
        <v>273</v>
      </c>
      <c r="C117" s="29" t="s">
        <v>274</v>
      </c>
      <c r="D117" s="28" t="s">
        <v>186</v>
      </c>
      <c r="E117" s="29" t="s">
        <v>395</v>
      </c>
      <c r="F117" s="29" t="s">
        <v>187</v>
      </c>
      <c r="G117" s="40">
        <v>42401</v>
      </c>
      <c r="H117" s="29" t="str">
        <f>VLOOKUP(I117,Sheet1!$A$4:$B$20,2,0)</f>
        <v>Pengatur Muda Tk. I (Gol. II/b)</v>
      </c>
      <c r="I117" s="28" t="s">
        <v>368</v>
      </c>
      <c r="J117" s="30">
        <v>44835</v>
      </c>
      <c r="K117" s="31"/>
      <c r="L117" s="32" t="str">
        <f t="shared" ca="1" si="16"/>
        <v>3 tahun, 9 bulan</v>
      </c>
      <c r="M117" s="30" t="s">
        <v>527</v>
      </c>
      <c r="N117" s="30" t="s">
        <v>421</v>
      </c>
      <c r="O117" s="30">
        <v>30349</v>
      </c>
      <c r="P117" s="28" t="s">
        <v>835</v>
      </c>
      <c r="Q117" s="28" t="s">
        <v>834</v>
      </c>
      <c r="R117" s="35" t="str">
        <f t="shared" ca="1" si="17"/>
        <v>43 tahun</v>
      </c>
      <c r="S117" s="35" t="str">
        <f t="shared" ca="1" si="18"/>
        <v>5 bulan</v>
      </c>
      <c r="T117" s="35" t="str">
        <f t="shared" ca="1" si="19"/>
        <v>27 hari</v>
      </c>
      <c r="U117" s="36" t="str">
        <f ca="1">DATEDIF(G117,$A$2,"Y")&amp;" tahun, "&amp;DATEDIF(G117,$A$2,"Ym")&amp;" bulan"</f>
        <v>10 tahun, 5 bulan</v>
      </c>
      <c r="V117" s="37">
        <f t="shared" si="15"/>
        <v>51561</v>
      </c>
    </row>
    <row r="118" spans="1:22" s="38" customFormat="1" ht="14.55" customHeight="1">
      <c r="A118" s="26">
        <v>115</v>
      </c>
      <c r="B118" s="27" t="s">
        <v>102</v>
      </c>
      <c r="C118" s="29" t="s">
        <v>103</v>
      </c>
      <c r="D118" s="28" t="s">
        <v>182</v>
      </c>
      <c r="E118" s="29" t="s">
        <v>402</v>
      </c>
      <c r="F118" s="29" t="s">
        <v>183</v>
      </c>
      <c r="G118" s="40">
        <v>39083</v>
      </c>
      <c r="H118" s="29" t="str">
        <f>VLOOKUP(I118,Sheet1!$A$4:$B$20,2,0)</f>
        <v>Pengatur Tk. I (Gol. II/d)</v>
      </c>
      <c r="I118" s="28" t="s">
        <v>370</v>
      </c>
      <c r="J118" s="30">
        <v>45383</v>
      </c>
      <c r="K118" s="31" t="s">
        <v>503</v>
      </c>
      <c r="L118" s="32" t="str">
        <f t="shared" ca="1" si="16"/>
        <v>2 tahun, 3 bulan</v>
      </c>
      <c r="M118" s="30" t="s">
        <v>527</v>
      </c>
      <c r="N118" s="30" t="s">
        <v>1</v>
      </c>
      <c r="O118" s="30">
        <v>25564</v>
      </c>
      <c r="P118" s="28" t="s">
        <v>676</v>
      </c>
      <c r="Q118" s="28" t="s">
        <v>675</v>
      </c>
      <c r="R118" s="35" t="str">
        <f t="shared" ca="1" si="17"/>
        <v>56 tahun</v>
      </c>
      <c r="S118" s="35" t="str">
        <f t="shared" ca="1" si="18"/>
        <v>7 bulan</v>
      </c>
      <c r="T118" s="35" t="str">
        <f t="shared" ca="1" si="19"/>
        <v>2 hari</v>
      </c>
      <c r="U118" s="36" t="str">
        <f ca="1">DATEDIF(G118,$A$2,"Y")&amp;" tahun, "&amp;DATEDIF(G118,$A$2,"Ym")&amp;" bulan"</f>
        <v>19 tahun, 6 bulan</v>
      </c>
      <c r="V118" s="37">
        <f t="shared" si="15"/>
        <v>46753</v>
      </c>
    </row>
    <row r="119" spans="1:22" s="38" customFormat="1" ht="14.55" customHeight="1">
      <c r="A119" s="26">
        <v>116</v>
      </c>
      <c r="B119" s="27" t="s">
        <v>104</v>
      </c>
      <c r="C119" s="29" t="s">
        <v>105</v>
      </c>
      <c r="D119" s="28" t="s">
        <v>182</v>
      </c>
      <c r="E119" s="29" t="s">
        <v>411</v>
      </c>
      <c r="F119" s="29" t="s">
        <v>183</v>
      </c>
      <c r="G119" s="40">
        <v>41883</v>
      </c>
      <c r="H119" s="29" t="str">
        <f>VLOOKUP(I119,Sheet1!$A$4:$B$20,2,0)</f>
        <v>Pengatur (Gol. II/c)</v>
      </c>
      <c r="I119" s="28" t="s">
        <v>369</v>
      </c>
      <c r="J119" s="30">
        <v>44835</v>
      </c>
      <c r="K119" s="31"/>
      <c r="L119" s="32" t="str">
        <f t="shared" ca="1" si="16"/>
        <v>3 tahun, 9 bulan</v>
      </c>
      <c r="M119" s="30" t="s">
        <v>527</v>
      </c>
      <c r="N119" s="30" t="s">
        <v>421</v>
      </c>
      <c r="O119" s="30">
        <v>29091</v>
      </c>
      <c r="P119" s="28" t="s">
        <v>678</v>
      </c>
      <c r="Q119" s="28" t="s">
        <v>677</v>
      </c>
      <c r="R119" s="35" t="str">
        <f t="shared" ca="1" si="17"/>
        <v>46 tahun</v>
      </c>
      <c r="S119" s="35" t="str">
        <f t="shared" ca="1" si="18"/>
        <v>11 bulan</v>
      </c>
      <c r="T119" s="35" t="str">
        <f t="shared" ca="1" si="19"/>
        <v>5 hari</v>
      </c>
      <c r="U119" s="36" t="str">
        <f ca="1">DATEDIF(G119,$A$2,"Y")&amp;" tahun, "&amp;DATEDIF(G119,$A$2,"Ym")&amp;" bulan"</f>
        <v>11 tahun, 10 bulan</v>
      </c>
      <c r="V119" s="37">
        <f t="shared" si="15"/>
        <v>50284</v>
      </c>
    </row>
    <row r="120" spans="1:22" s="38" customFormat="1" ht="14.55" customHeight="1">
      <c r="A120" s="26">
        <v>117</v>
      </c>
      <c r="B120" s="27" t="s">
        <v>185</v>
      </c>
      <c r="C120" s="29" t="s">
        <v>447</v>
      </c>
      <c r="D120" s="28" t="s">
        <v>186</v>
      </c>
      <c r="E120" s="29" t="s">
        <v>403</v>
      </c>
      <c r="F120" s="29" t="s">
        <v>187</v>
      </c>
      <c r="G120" s="40">
        <v>42401</v>
      </c>
      <c r="H120" s="29" t="str">
        <f>VLOOKUP(I120,Sheet1!$A$4:$B$20,2,0)</f>
        <v>Pengatur Muda Tk. I (Gol. II/b)</v>
      </c>
      <c r="I120" s="28" t="s">
        <v>368</v>
      </c>
      <c r="J120" s="30">
        <v>45931</v>
      </c>
      <c r="K120" s="31" t="s">
        <v>935</v>
      </c>
      <c r="L120" s="32" t="str">
        <f t="shared" ca="1" si="16"/>
        <v>0 tahun, 9 bulan</v>
      </c>
      <c r="M120" s="30" t="s">
        <v>527</v>
      </c>
      <c r="N120" s="30" t="s">
        <v>427</v>
      </c>
      <c r="O120" s="30">
        <v>27681</v>
      </c>
      <c r="P120" s="28" t="s">
        <v>837</v>
      </c>
      <c r="Q120" s="28" t="s">
        <v>836</v>
      </c>
      <c r="R120" s="35" t="str">
        <f t="shared" ca="1" si="17"/>
        <v>50 tahun</v>
      </c>
      <c r="S120" s="35" t="str">
        <f t="shared" ca="1" si="18"/>
        <v>9 bulan</v>
      </c>
      <c r="T120" s="35" t="str">
        <f t="shared" ca="1" si="19"/>
        <v>15 hari</v>
      </c>
      <c r="U120" s="36" t="str">
        <f ca="1">DATEDIF(G120,$A$2,"Y")&amp;" tahun, "&amp;DATEDIF(G120,$A$2,"Ym")&amp;" bulan"</f>
        <v>10 tahun, 5 bulan</v>
      </c>
      <c r="V120" s="37">
        <f t="shared" si="15"/>
        <v>48884</v>
      </c>
    </row>
    <row r="121" spans="1:22" s="38" customFormat="1" ht="14.55" customHeight="1">
      <c r="A121" s="26">
        <v>118</v>
      </c>
      <c r="B121" s="27" t="s">
        <v>106</v>
      </c>
      <c r="C121" s="29" t="s">
        <v>107</v>
      </c>
      <c r="D121" s="28" t="s">
        <v>182</v>
      </c>
      <c r="E121" s="29" t="s">
        <v>402</v>
      </c>
      <c r="F121" s="29" t="s">
        <v>183</v>
      </c>
      <c r="G121" s="40">
        <v>39722</v>
      </c>
      <c r="H121" s="29" t="str">
        <f>VLOOKUP(I121,Sheet1!$A$4:$B$20,2,0)</f>
        <v>Pengatur Tk. I (Gol. II/d)</v>
      </c>
      <c r="I121" s="28" t="s">
        <v>370</v>
      </c>
      <c r="J121" s="30">
        <v>45444</v>
      </c>
      <c r="K121" s="31"/>
      <c r="L121" s="32" t="str">
        <f t="shared" ca="1" si="16"/>
        <v>2 tahun, 1 bulan</v>
      </c>
      <c r="M121" s="30" t="s">
        <v>527</v>
      </c>
      <c r="N121" s="30" t="s">
        <v>421</v>
      </c>
      <c r="O121" s="30">
        <v>26128</v>
      </c>
      <c r="P121" s="28" t="s">
        <v>680</v>
      </c>
      <c r="Q121" s="28" t="s">
        <v>679</v>
      </c>
      <c r="R121" s="35" t="str">
        <f t="shared" ca="1" si="17"/>
        <v>55 tahun</v>
      </c>
      <c r="S121" s="35" t="str">
        <f t="shared" ca="1" si="18"/>
        <v>0 bulan</v>
      </c>
      <c r="T121" s="35" t="str">
        <f t="shared" ca="1" si="19"/>
        <v>15 hari</v>
      </c>
      <c r="U121" s="36" t="str">
        <f ca="1">DATEDIF(G121,$A$2,"Y")&amp;" tahun, "&amp;DATEDIF(G121,$A$2,"Ym")&amp;" bulan"</f>
        <v>17 tahun, 9 bulan</v>
      </c>
      <c r="V121" s="37">
        <f t="shared" si="15"/>
        <v>47331</v>
      </c>
    </row>
    <row r="122" spans="1:22" s="38" customFormat="1" ht="14.55" customHeight="1">
      <c r="A122" s="26">
        <v>119</v>
      </c>
      <c r="B122" s="27" t="s">
        <v>108</v>
      </c>
      <c r="C122" s="29" t="s">
        <v>109</v>
      </c>
      <c r="D122" s="28" t="s">
        <v>182</v>
      </c>
      <c r="E122" s="29" t="s">
        <v>394</v>
      </c>
      <c r="F122" s="29" t="s">
        <v>183</v>
      </c>
      <c r="G122" s="40">
        <v>41883</v>
      </c>
      <c r="H122" s="29" t="str">
        <f>VLOOKUP(I122,Sheet1!$A$4:$B$20,2,0)</f>
        <v>Pengatur (Gol. II/c)</v>
      </c>
      <c r="I122" s="28" t="s">
        <v>369</v>
      </c>
      <c r="J122" s="30">
        <v>44835</v>
      </c>
      <c r="K122" s="31"/>
      <c r="L122" s="32" t="str">
        <f t="shared" ca="1" si="16"/>
        <v>3 tahun, 9 bulan</v>
      </c>
      <c r="M122" s="30" t="s">
        <v>528</v>
      </c>
      <c r="N122" s="30" t="s">
        <v>1</v>
      </c>
      <c r="O122" s="30">
        <v>30528</v>
      </c>
      <c r="P122" s="43" t="s">
        <v>918</v>
      </c>
      <c r="Q122" s="28" t="s">
        <v>681</v>
      </c>
      <c r="R122" s="35" t="str">
        <f t="shared" ca="1" si="17"/>
        <v>42 tahun</v>
      </c>
      <c r="S122" s="35" t="str">
        <f t="shared" ca="1" si="18"/>
        <v>11 bulan</v>
      </c>
      <c r="T122" s="35" t="str">
        <f t="shared" ca="1" si="19"/>
        <v>28 hari</v>
      </c>
      <c r="U122" s="36" t="str">
        <f ca="1">DATEDIF(G122,$A$2,"Y")&amp;" tahun, "&amp;DATEDIF(G122,$A$2,"Ym")&amp;" bulan"</f>
        <v>11 tahun, 10 bulan</v>
      </c>
      <c r="V122" s="37">
        <f t="shared" si="15"/>
        <v>51714</v>
      </c>
    </row>
    <row r="123" spans="1:22" s="38" customFormat="1" ht="14.55" customHeight="1">
      <c r="A123" s="26">
        <v>120</v>
      </c>
      <c r="B123" s="27" t="s">
        <v>110</v>
      </c>
      <c r="C123" s="29" t="s">
        <v>111</v>
      </c>
      <c r="D123" s="28" t="s">
        <v>182</v>
      </c>
      <c r="E123" s="29" t="s">
        <v>395</v>
      </c>
      <c r="F123" s="29" t="s">
        <v>183</v>
      </c>
      <c r="G123" s="40">
        <v>39083</v>
      </c>
      <c r="H123" s="29" t="str">
        <f>VLOOKUP(I123,Sheet1!$A$4:$B$20,2,0)</f>
        <v>Pengatur (Gol. II/c)</v>
      </c>
      <c r="I123" s="28" t="s">
        <v>369</v>
      </c>
      <c r="J123" s="30">
        <v>45383</v>
      </c>
      <c r="K123" s="31" t="s">
        <v>504</v>
      </c>
      <c r="L123" s="32" t="str">
        <f t="shared" ca="1" si="16"/>
        <v>2 tahun, 3 bulan</v>
      </c>
      <c r="M123" s="30" t="s">
        <v>527</v>
      </c>
      <c r="N123" s="30" t="s">
        <v>1</v>
      </c>
      <c r="O123" s="30">
        <v>25402</v>
      </c>
      <c r="P123" s="28" t="s">
        <v>683</v>
      </c>
      <c r="Q123" s="28" t="s">
        <v>682</v>
      </c>
      <c r="R123" s="35" t="str">
        <f t="shared" ca="1" si="17"/>
        <v>57 tahun</v>
      </c>
      <c r="S123" s="35" t="str">
        <f t="shared" ca="1" si="18"/>
        <v>0 bulan</v>
      </c>
      <c r="T123" s="35" t="str">
        <f t="shared" ca="1" si="19"/>
        <v>11 hari</v>
      </c>
      <c r="U123" s="36" t="str">
        <f ca="1">DATEDIF(G123,$A$2,"Y")&amp;" tahun, "&amp;DATEDIF(G123,$A$2,"Ym")&amp;" bulan"</f>
        <v>19 tahun, 6 bulan</v>
      </c>
      <c r="V123" s="37">
        <f t="shared" si="15"/>
        <v>46600</v>
      </c>
    </row>
    <row r="124" spans="1:22" s="38" customFormat="1" ht="14.55" customHeight="1">
      <c r="A124" s="26">
        <v>121</v>
      </c>
      <c r="B124" s="27" t="s">
        <v>300</v>
      </c>
      <c r="C124" s="29" t="s">
        <v>385</v>
      </c>
      <c r="D124" s="28" t="s">
        <v>186</v>
      </c>
      <c r="E124" s="29" t="s">
        <v>395</v>
      </c>
      <c r="F124" s="29" t="s">
        <v>187</v>
      </c>
      <c r="G124" s="40">
        <v>42401</v>
      </c>
      <c r="H124" s="29" t="str">
        <f>VLOOKUP(I124,Sheet1!$A$4:$B$20,2,0)</f>
        <v>Pengatur Muda Tk. I (Gol. II/b)</v>
      </c>
      <c r="I124" s="28" t="s">
        <v>368</v>
      </c>
      <c r="J124" s="30">
        <v>45931</v>
      </c>
      <c r="K124" s="31" t="s">
        <v>515</v>
      </c>
      <c r="L124" s="32" t="str">
        <f t="shared" ca="1" si="16"/>
        <v>0 tahun, 9 bulan</v>
      </c>
      <c r="M124" s="30" t="s">
        <v>527</v>
      </c>
      <c r="N124" s="30" t="s">
        <v>1</v>
      </c>
      <c r="O124" s="30">
        <v>28638</v>
      </c>
      <c r="P124" s="28" t="s">
        <v>838</v>
      </c>
      <c r="Q124" s="28"/>
      <c r="R124" s="35" t="str">
        <f t="shared" ca="1" si="17"/>
        <v>48 tahun</v>
      </c>
      <c r="S124" s="35" t="str">
        <f t="shared" ca="1" si="18"/>
        <v>2 bulan</v>
      </c>
      <c r="T124" s="35" t="str">
        <f t="shared" ca="1" si="19"/>
        <v>1 hari</v>
      </c>
      <c r="U124" s="36" t="str">
        <f ca="1">DATEDIF(G124,$A$2,"Y")&amp;" tahun, "&amp;DATEDIF(G124,$A$2,"Ym")&amp;" bulan"</f>
        <v>10 tahun, 5 bulan</v>
      </c>
      <c r="V124" s="37">
        <f t="shared" si="15"/>
        <v>49827</v>
      </c>
    </row>
    <row r="125" spans="1:22" s="38" customFormat="1" ht="14.55" customHeight="1">
      <c r="A125" s="26">
        <v>122</v>
      </c>
      <c r="B125" s="27" t="s">
        <v>112</v>
      </c>
      <c r="C125" s="29" t="s">
        <v>269</v>
      </c>
      <c r="D125" s="28" t="s">
        <v>182</v>
      </c>
      <c r="E125" s="29" t="s">
        <v>392</v>
      </c>
      <c r="F125" s="29" t="s">
        <v>183</v>
      </c>
      <c r="G125" s="40">
        <v>41883</v>
      </c>
      <c r="H125" s="29" t="str">
        <f>VLOOKUP(I125,Sheet1!$A$4:$B$20,2,0)</f>
        <v>Penata Muda Tk.I (Gol. III/b)</v>
      </c>
      <c r="I125" s="28" t="s">
        <v>373</v>
      </c>
      <c r="J125" s="30">
        <v>45383</v>
      </c>
      <c r="K125" s="31" t="s">
        <v>505</v>
      </c>
      <c r="L125" s="32" t="str">
        <f t="shared" ca="1" si="16"/>
        <v>2 tahun, 3 bulan</v>
      </c>
      <c r="M125" s="30" t="s">
        <v>528</v>
      </c>
      <c r="N125" s="30" t="s">
        <v>448</v>
      </c>
      <c r="O125" s="30">
        <v>28993</v>
      </c>
      <c r="P125" s="28" t="s">
        <v>685</v>
      </c>
      <c r="Q125" s="28" t="s">
        <v>684</v>
      </c>
      <c r="R125" s="35" t="str">
        <f t="shared" ca="1" si="17"/>
        <v>47 tahun</v>
      </c>
      <c r="S125" s="35" t="str">
        <f t="shared" ca="1" si="18"/>
        <v>2 bulan</v>
      </c>
      <c r="T125" s="35" t="str">
        <f t="shared" ca="1" si="19"/>
        <v>11 hari</v>
      </c>
      <c r="U125" s="36" t="str">
        <f ca="1">DATEDIF(G125,$A$2,"Y")&amp;" tahun, "&amp;DATEDIF(G125,$A$2,"Ym")&amp;" bulan"</f>
        <v>11 tahun, 10 bulan</v>
      </c>
      <c r="V125" s="37">
        <f t="shared" si="15"/>
        <v>50192</v>
      </c>
    </row>
    <row r="126" spans="1:22" s="38" customFormat="1" ht="14.55" customHeight="1">
      <c r="A126" s="26">
        <v>123</v>
      </c>
      <c r="B126" s="27" t="s">
        <v>215</v>
      </c>
      <c r="C126" s="29" t="s">
        <v>216</v>
      </c>
      <c r="D126" s="28" t="s">
        <v>186</v>
      </c>
      <c r="E126" s="29" t="s">
        <v>405</v>
      </c>
      <c r="F126" s="29" t="s">
        <v>187</v>
      </c>
      <c r="G126" s="40">
        <v>42401</v>
      </c>
      <c r="H126" s="29" t="str">
        <f>VLOOKUP(I126,Sheet1!$A$4:$B$20,2,0)</f>
        <v>Penata Muda Tk.I (Gol. III/b)</v>
      </c>
      <c r="I126" s="28" t="s">
        <v>373</v>
      </c>
      <c r="J126" s="30">
        <v>44835</v>
      </c>
      <c r="K126" s="31"/>
      <c r="L126" s="32" t="str">
        <f t="shared" ca="1" si="16"/>
        <v>3 tahun, 9 bulan</v>
      </c>
      <c r="M126" s="30" t="s">
        <v>528</v>
      </c>
      <c r="N126" s="30" t="s">
        <v>421</v>
      </c>
      <c r="O126" s="30">
        <v>30990</v>
      </c>
      <c r="P126" s="28" t="s">
        <v>840</v>
      </c>
      <c r="Q126" s="28" t="s">
        <v>839</v>
      </c>
      <c r="R126" s="35" t="str">
        <f t="shared" ca="1" si="17"/>
        <v>41 tahun</v>
      </c>
      <c r="S126" s="35" t="str">
        <f t="shared" ca="1" si="18"/>
        <v>8 bulan</v>
      </c>
      <c r="T126" s="35" t="str">
        <f t="shared" ca="1" si="19"/>
        <v>25 hari</v>
      </c>
      <c r="U126" s="36" t="str">
        <f ca="1">DATEDIF(G126,$A$2,"Y")&amp;" tahun, "&amp;DATEDIF(G126,$A$2,"Ym")&amp;" bulan"</f>
        <v>10 tahun, 5 bulan</v>
      </c>
      <c r="V126" s="37">
        <f t="shared" si="15"/>
        <v>52201</v>
      </c>
    </row>
    <row r="127" spans="1:22" s="38" customFormat="1" ht="14.55" customHeight="1">
      <c r="A127" s="26">
        <v>124</v>
      </c>
      <c r="B127" s="27" t="s">
        <v>113</v>
      </c>
      <c r="C127" s="29" t="s">
        <v>299</v>
      </c>
      <c r="D127" s="28" t="s">
        <v>182</v>
      </c>
      <c r="E127" s="29" t="s">
        <v>402</v>
      </c>
      <c r="F127" s="29" t="s">
        <v>183</v>
      </c>
      <c r="G127" s="40">
        <v>36220</v>
      </c>
      <c r="H127" s="29" t="str">
        <f>VLOOKUP(I127,Sheet1!$A$4:$B$20,2,0)</f>
        <v>Penata Muda Tk.I (Gol. III/b)</v>
      </c>
      <c r="I127" s="28" t="s">
        <v>373</v>
      </c>
      <c r="J127" s="30">
        <v>45383</v>
      </c>
      <c r="K127" s="31" t="s">
        <v>506</v>
      </c>
      <c r="L127" s="32" t="str">
        <f t="shared" ca="1" si="16"/>
        <v>2 tahun, 3 bulan</v>
      </c>
      <c r="M127" s="30" t="s">
        <v>528</v>
      </c>
      <c r="N127" s="30" t="s">
        <v>1</v>
      </c>
      <c r="O127" s="30">
        <v>27994</v>
      </c>
      <c r="P127" s="28" t="s">
        <v>687</v>
      </c>
      <c r="Q127" s="28" t="s">
        <v>686</v>
      </c>
      <c r="R127" s="35" t="str">
        <f t="shared" ca="1" si="17"/>
        <v>49 tahun</v>
      </c>
      <c r="S127" s="35" t="str">
        <f t="shared" ca="1" si="18"/>
        <v>11 bulan</v>
      </c>
      <c r="T127" s="35" t="str">
        <f t="shared" ca="1" si="19"/>
        <v>7 hari</v>
      </c>
      <c r="U127" s="36" t="str">
        <f ca="1">DATEDIF(G127,$A$2,"Y")&amp;" tahun, "&amp;DATEDIF(G127,$A$2,"Ym")&amp;" bulan"</f>
        <v>27 tahun, 4 bulan</v>
      </c>
      <c r="V127" s="37">
        <f t="shared" ref="V127:V157" si="20">DATE(YEAR(O127)+58,MONTH(O127)+1,1)</f>
        <v>49188</v>
      </c>
    </row>
    <row r="128" spans="1:22" s="38" customFormat="1" ht="14.55" customHeight="1">
      <c r="A128" s="26">
        <v>125</v>
      </c>
      <c r="B128" s="27" t="s">
        <v>294</v>
      </c>
      <c r="C128" s="29" t="s">
        <v>295</v>
      </c>
      <c r="D128" s="28" t="s">
        <v>186</v>
      </c>
      <c r="E128" s="29" t="s">
        <v>402</v>
      </c>
      <c r="F128" s="29" t="s">
        <v>187</v>
      </c>
      <c r="G128" s="40">
        <v>42401</v>
      </c>
      <c r="H128" s="29" t="str">
        <f>VLOOKUP(I128,Sheet1!$A$4:$B$20,2,0)</f>
        <v>Penata Muda Tk.I (Gol. III/b)</v>
      </c>
      <c r="I128" s="28" t="s">
        <v>373</v>
      </c>
      <c r="J128" s="30">
        <v>45017</v>
      </c>
      <c r="K128" s="31"/>
      <c r="L128" s="32" t="str">
        <f t="shared" ca="1" si="16"/>
        <v>3 tahun, 3 bulan</v>
      </c>
      <c r="M128" s="30" t="s">
        <v>528</v>
      </c>
      <c r="N128" s="30" t="s">
        <v>425</v>
      </c>
      <c r="O128" s="30">
        <v>30415</v>
      </c>
      <c r="P128" s="28" t="s">
        <v>842</v>
      </c>
      <c r="Q128" s="28" t="s">
        <v>841</v>
      </c>
      <c r="R128" s="35" t="str">
        <f t="shared" ca="1" si="17"/>
        <v>43 tahun</v>
      </c>
      <c r="S128" s="35" t="str">
        <f t="shared" ca="1" si="18"/>
        <v>3 bulan</v>
      </c>
      <c r="T128" s="35" t="str">
        <f t="shared" ca="1" si="19"/>
        <v>20 hari</v>
      </c>
      <c r="U128" s="36" t="str">
        <f ca="1">DATEDIF(G128,$A$2,"Y")&amp;" tahun, "&amp;DATEDIF(G128,$A$2,"Ym")&amp;" bulan"</f>
        <v>10 tahun, 5 bulan</v>
      </c>
      <c r="V128" s="37">
        <f t="shared" si="20"/>
        <v>51622</v>
      </c>
    </row>
    <row r="129" spans="1:22" s="38" customFormat="1" ht="14.55" customHeight="1">
      <c r="A129" s="26">
        <v>126</v>
      </c>
      <c r="B129" s="27" t="s">
        <v>114</v>
      </c>
      <c r="C129" s="29" t="s">
        <v>115</v>
      </c>
      <c r="D129" s="28" t="s">
        <v>182</v>
      </c>
      <c r="E129" s="29" t="s">
        <v>401</v>
      </c>
      <c r="F129" s="29" t="s">
        <v>183</v>
      </c>
      <c r="G129" s="40">
        <v>41883</v>
      </c>
      <c r="H129" s="29" t="str">
        <f>VLOOKUP(I129,Sheet1!$A$4:$B$20,2,0)</f>
        <v>Pengatur (Gol. II/c)</v>
      </c>
      <c r="I129" s="28" t="s">
        <v>369</v>
      </c>
      <c r="J129" s="30">
        <v>45383</v>
      </c>
      <c r="K129" s="31" t="s">
        <v>501</v>
      </c>
      <c r="L129" s="32" t="str">
        <f t="shared" ca="1" si="16"/>
        <v>2 tahun, 3 bulan</v>
      </c>
      <c r="M129" s="30" t="s">
        <v>528</v>
      </c>
      <c r="N129" s="30" t="s">
        <v>449</v>
      </c>
      <c r="O129" s="30">
        <v>28448</v>
      </c>
      <c r="P129" s="28" t="s">
        <v>689</v>
      </c>
      <c r="Q129" s="28" t="s">
        <v>688</v>
      </c>
      <c r="R129" s="35" t="str">
        <f t="shared" ca="1" si="17"/>
        <v>48 tahun</v>
      </c>
      <c r="S129" s="35" t="str">
        <f t="shared" ca="1" si="18"/>
        <v>8 bulan</v>
      </c>
      <c r="T129" s="35" t="str">
        <f t="shared" ca="1" si="19"/>
        <v>10 hari</v>
      </c>
      <c r="U129" s="36" t="str">
        <f ca="1">DATEDIF(G129,$A$2,"Y")&amp;" tahun, "&amp;DATEDIF(G129,$A$2,"Ym")&amp;" bulan"</f>
        <v>11 tahun, 10 bulan</v>
      </c>
      <c r="V129" s="37">
        <f t="shared" si="20"/>
        <v>49644</v>
      </c>
    </row>
    <row r="130" spans="1:22" s="38" customFormat="1" ht="14.55" customHeight="1">
      <c r="A130" s="26">
        <v>127</v>
      </c>
      <c r="B130" s="27" t="s">
        <v>307</v>
      </c>
      <c r="C130" s="29" t="s">
        <v>308</v>
      </c>
      <c r="D130" s="28" t="s">
        <v>186</v>
      </c>
      <c r="E130" s="29" t="s">
        <v>947</v>
      </c>
      <c r="F130" s="29" t="s">
        <v>485</v>
      </c>
      <c r="G130" s="40">
        <v>42401</v>
      </c>
      <c r="H130" s="29" t="str">
        <f>VLOOKUP(I130,Sheet1!$A$4:$B$20,2,0)</f>
        <v>Pengatur Tk. I (Gol. II/d)</v>
      </c>
      <c r="I130" s="28" t="s">
        <v>370</v>
      </c>
      <c r="J130" s="30">
        <v>45931</v>
      </c>
      <c r="K130" s="31"/>
      <c r="L130" s="32" t="str">
        <f t="shared" ca="1" si="16"/>
        <v>0 tahun, 9 bulan</v>
      </c>
      <c r="M130" s="30" t="s">
        <v>528</v>
      </c>
      <c r="N130" s="30" t="s">
        <v>1</v>
      </c>
      <c r="O130" s="30">
        <v>30932</v>
      </c>
      <c r="P130" s="28" t="s">
        <v>844</v>
      </c>
      <c r="Q130" s="28" t="s">
        <v>843</v>
      </c>
      <c r="R130" s="35" t="str">
        <f t="shared" ca="1" si="17"/>
        <v>41 tahun</v>
      </c>
      <c r="S130" s="35" t="str">
        <f t="shared" ca="1" si="18"/>
        <v>10 bulan</v>
      </c>
      <c r="T130" s="35" t="str">
        <f t="shared" ca="1" si="19"/>
        <v>22 hari</v>
      </c>
      <c r="U130" s="36" t="str">
        <f ca="1">DATEDIF(G130,$A$2,"Y")&amp;" tahun, "&amp;DATEDIF(G130,$A$2,"Ym")&amp;" bulan"</f>
        <v>10 tahun, 5 bulan</v>
      </c>
      <c r="V130" s="37">
        <f t="shared" si="20"/>
        <v>52140</v>
      </c>
    </row>
    <row r="131" spans="1:22" s="38" customFormat="1" ht="14.55" customHeight="1">
      <c r="A131" s="26">
        <v>128</v>
      </c>
      <c r="B131" s="27" t="s">
        <v>389</v>
      </c>
      <c r="C131" s="29" t="s">
        <v>386</v>
      </c>
      <c r="D131" s="28" t="s">
        <v>182</v>
      </c>
      <c r="E131" s="29" t="s">
        <v>962</v>
      </c>
      <c r="F131" s="29" t="s">
        <v>183</v>
      </c>
      <c r="G131" s="40">
        <v>36220</v>
      </c>
      <c r="H131" s="29" t="str">
        <f>VLOOKUP(I131,Sheet1!$A$4:$B$20,2,0)</f>
        <v>Pembina (Gol. IV/a)</v>
      </c>
      <c r="I131" s="28" t="s">
        <v>387</v>
      </c>
      <c r="J131" s="30">
        <v>42826</v>
      </c>
      <c r="K131" s="31"/>
      <c r="L131" s="32" t="str">
        <f t="shared" ca="1" si="16"/>
        <v>9 tahun, 3 bulan</v>
      </c>
      <c r="M131" s="30" t="s">
        <v>528</v>
      </c>
      <c r="N131" s="30" t="s">
        <v>1</v>
      </c>
      <c r="O131" s="30">
        <v>27496</v>
      </c>
      <c r="P131" s="43" t="s">
        <v>919</v>
      </c>
      <c r="Q131" s="43" t="s">
        <v>536</v>
      </c>
      <c r="R131" s="35" t="str">
        <f t="shared" ca="1" si="17"/>
        <v>51 tahun</v>
      </c>
      <c r="S131" s="35" t="str">
        <f t="shared" ca="1" si="18"/>
        <v>3 bulan</v>
      </c>
      <c r="T131" s="35" t="str">
        <f t="shared" ca="1" si="19"/>
        <v>17 hari</v>
      </c>
      <c r="U131" s="36" t="str">
        <f ca="1">DATEDIF(G131,$A$2,"Y")&amp;" tahun, "&amp;DATEDIF(G131,$A$2,"Ym")&amp;" bulan"</f>
        <v>27 tahun, 4 bulan</v>
      </c>
      <c r="V131" s="37">
        <f t="shared" si="20"/>
        <v>48700</v>
      </c>
    </row>
    <row r="132" spans="1:22" s="38" customFormat="1" ht="14.55" customHeight="1">
      <c r="A132" s="26">
        <v>129</v>
      </c>
      <c r="B132" s="27" t="s">
        <v>288</v>
      </c>
      <c r="C132" s="29" t="s">
        <v>289</v>
      </c>
      <c r="D132" s="28" t="s">
        <v>186</v>
      </c>
      <c r="E132" s="29" t="s">
        <v>948</v>
      </c>
      <c r="F132" s="29" t="s">
        <v>485</v>
      </c>
      <c r="G132" s="40">
        <v>42583</v>
      </c>
      <c r="H132" s="29" t="str">
        <f>VLOOKUP(I132,Sheet1!$A$4:$B$20,2,0)</f>
        <v>Penata Muda Tk.I (Gol. III/b)</v>
      </c>
      <c r="I132" s="28" t="s">
        <v>373</v>
      </c>
      <c r="J132" s="30">
        <v>46113</v>
      </c>
      <c r="K132" s="31" t="s">
        <v>990</v>
      </c>
      <c r="L132" s="32" t="str">
        <f t="shared" ref="L132:L162" ca="1" si="21">DATEDIF(J132,$A$2,"Y")&amp;" tahun, "&amp;DATEDIF(J132,$A$2,"YM")&amp;" bulan"</f>
        <v>0 tahun, 3 bulan</v>
      </c>
      <c r="M132" s="30" t="s">
        <v>528</v>
      </c>
      <c r="N132" s="30" t="s">
        <v>1</v>
      </c>
      <c r="O132" s="30">
        <v>34317</v>
      </c>
      <c r="P132" s="28" t="s">
        <v>846</v>
      </c>
      <c r="Q132" s="28" t="s">
        <v>845</v>
      </c>
      <c r="R132" s="35" t="str">
        <f t="shared" ref="R132:R162" ca="1" si="22">DATEDIF(O132,$A$2,"Y")&amp;" tahun"</f>
        <v>32 tahun</v>
      </c>
      <c r="S132" s="35" t="str">
        <f t="shared" ref="S132:S162" ca="1" si="23">DATEDIF(O132,$A$2,"YM")&amp;" bulan"</f>
        <v>7 bulan</v>
      </c>
      <c r="T132" s="35" t="str">
        <f t="shared" ref="T132:T162" ca="1" si="24">DATEDIF(O132,$A$2,"MD")&amp;" hari"</f>
        <v>15 hari</v>
      </c>
      <c r="U132" s="36" t="str">
        <f ca="1">DATEDIF(G132,$A$2,"Y")&amp;" tahun, "&amp;DATEDIF(G132,$A$2,"Ym")&amp;" bulan"</f>
        <v>9 tahun, 11 bulan</v>
      </c>
      <c r="V132" s="37">
        <f t="shared" si="20"/>
        <v>55519</v>
      </c>
    </row>
    <row r="133" spans="1:22" s="38" customFormat="1" ht="14.55" customHeight="1">
      <c r="A133" s="26">
        <v>130</v>
      </c>
      <c r="B133" s="27" t="s">
        <v>116</v>
      </c>
      <c r="C133" s="29" t="s">
        <v>255</v>
      </c>
      <c r="D133" s="28" t="s">
        <v>182</v>
      </c>
      <c r="E133" s="29" t="s">
        <v>401</v>
      </c>
      <c r="F133" s="29" t="s">
        <v>183</v>
      </c>
      <c r="G133" s="40">
        <v>39722</v>
      </c>
      <c r="H133" s="29" t="str">
        <f>VLOOKUP(I133,Sheet1!$A$4:$B$20,2,0)</f>
        <v>Penata Muda Tk.I (Gol. III/b)</v>
      </c>
      <c r="I133" s="28" t="s">
        <v>373</v>
      </c>
      <c r="J133" s="30">
        <v>45017</v>
      </c>
      <c r="K133" s="31"/>
      <c r="L133" s="32" t="str">
        <f t="shared" ca="1" si="21"/>
        <v>3 tahun, 3 bulan</v>
      </c>
      <c r="M133" s="30" t="s">
        <v>528</v>
      </c>
      <c r="N133" s="30" t="s">
        <v>1</v>
      </c>
      <c r="O133" s="30">
        <v>28087</v>
      </c>
      <c r="P133" s="28" t="s">
        <v>691</v>
      </c>
      <c r="Q133" s="28" t="s">
        <v>690</v>
      </c>
      <c r="R133" s="35" t="str">
        <f t="shared" ca="1" si="22"/>
        <v>49 tahun</v>
      </c>
      <c r="S133" s="35" t="str">
        <f t="shared" ca="1" si="23"/>
        <v>8 bulan</v>
      </c>
      <c r="T133" s="35" t="str">
        <f t="shared" ca="1" si="24"/>
        <v>6 hari</v>
      </c>
      <c r="U133" s="36" t="str">
        <f ca="1">DATEDIF(G133,$A$2,"Y")&amp;" tahun, "&amp;DATEDIF(G133,$A$2,"Ym")&amp;" bulan"</f>
        <v>17 tahun, 9 bulan</v>
      </c>
      <c r="V133" s="37">
        <f t="shared" si="20"/>
        <v>49279</v>
      </c>
    </row>
    <row r="134" spans="1:22" s="38" customFormat="1" ht="14.55" customHeight="1">
      <c r="A134" s="26">
        <v>131</v>
      </c>
      <c r="B134" s="27" t="s">
        <v>117</v>
      </c>
      <c r="C134" s="29" t="s">
        <v>118</v>
      </c>
      <c r="D134" s="28" t="s">
        <v>182</v>
      </c>
      <c r="E134" s="29" t="s">
        <v>409</v>
      </c>
      <c r="F134" s="29" t="s">
        <v>183</v>
      </c>
      <c r="G134" s="40">
        <v>39083</v>
      </c>
      <c r="H134" s="29" t="str">
        <f>VLOOKUP(I134,Sheet1!$A$4:$B$20,2,0)</f>
        <v>Penata Muda (Gol. III/a)</v>
      </c>
      <c r="I134" s="28" t="s">
        <v>367</v>
      </c>
      <c r="J134" s="30">
        <v>45383</v>
      </c>
      <c r="K134" s="31" t="s">
        <v>519</v>
      </c>
      <c r="L134" s="32" t="str">
        <f t="shared" ca="1" si="21"/>
        <v>2 tahun, 3 bulan</v>
      </c>
      <c r="M134" s="30" t="s">
        <v>527</v>
      </c>
      <c r="N134" s="30" t="s">
        <v>421</v>
      </c>
      <c r="O134" s="30">
        <v>28922</v>
      </c>
      <c r="P134" s="43" t="s">
        <v>693</v>
      </c>
      <c r="Q134" s="28" t="s">
        <v>692</v>
      </c>
      <c r="R134" s="35" t="str">
        <f t="shared" ca="1" si="22"/>
        <v>47 tahun</v>
      </c>
      <c r="S134" s="35" t="str">
        <f t="shared" ca="1" si="23"/>
        <v>4 bulan</v>
      </c>
      <c r="T134" s="35" t="str">
        <f t="shared" ca="1" si="24"/>
        <v>21 hari</v>
      </c>
      <c r="U134" s="36" t="str">
        <f ca="1">DATEDIF(G134,$A$2,"Y")&amp;" tahun, "&amp;DATEDIF(G134,$A$2,"Ym")&amp;" bulan"</f>
        <v>19 tahun, 6 bulan</v>
      </c>
      <c r="V134" s="37">
        <f t="shared" si="20"/>
        <v>50131</v>
      </c>
    </row>
    <row r="135" spans="1:22" s="38" customFormat="1" ht="14.55" customHeight="1">
      <c r="A135" s="26">
        <v>132</v>
      </c>
      <c r="B135" s="27" t="s">
        <v>119</v>
      </c>
      <c r="C135" s="29" t="s">
        <v>487</v>
      </c>
      <c r="D135" s="28" t="s">
        <v>182</v>
      </c>
      <c r="E135" s="29" t="s">
        <v>951</v>
      </c>
      <c r="F135" s="29" t="s">
        <v>481</v>
      </c>
      <c r="G135" s="40">
        <v>40087</v>
      </c>
      <c r="H135" s="29" t="str">
        <f>VLOOKUP(I135,Sheet1!$A$4:$B$20,2,0)</f>
        <v>Penata Muda Tk.I (Gol. III/b)</v>
      </c>
      <c r="I135" s="28" t="s">
        <v>373</v>
      </c>
      <c r="J135" s="30">
        <v>43191</v>
      </c>
      <c r="K135" s="31"/>
      <c r="L135" s="32" t="str">
        <f t="shared" ca="1" si="21"/>
        <v>8 tahun, 3 bulan</v>
      </c>
      <c r="M135" s="30" t="s">
        <v>528</v>
      </c>
      <c r="N135" s="30" t="s">
        <v>1</v>
      </c>
      <c r="O135" s="30">
        <v>27673</v>
      </c>
      <c r="P135" s="28" t="s">
        <v>695</v>
      </c>
      <c r="Q135" s="28" t="s">
        <v>694</v>
      </c>
      <c r="R135" s="35" t="str">
        <f t="shared" ca="1" si="22"/>
        <v>50 tahun</v>
      </c>
      <c r="S135" s="35" t="str">
        <f t="shared" ca="1" si="23"/>
        <v>9 bulan</v>
      </c>
      <c r="T135" s="35" t="str">
        <f t="shared" ca="1" si="24"/>
        <v>23 hari</v>
      </c>
      <c r="U135" s="36" t="str">
        <f ca="1">DATEDIF(G135,$A$2,"Y")&amp;" tahun, "&amp;DATEDIF(G135,$A$2,"Ym")&amp;" bulan"</f>
        <v>16 tahun, 9 bulan</v>
      </c>
      <c r="V135" s="37">
        <f t="shared" si="20"/>
        <v>48884</v>
      </c>
    </row>
    <row r="136" spans="1:22" s="38" customFormat="1" ht="14.55" customHeight="1">
      <c r="A136" s="26">
        <v>133</v>
      </c>
      <c r="B136" s="27" t="s">
        <v>321</v>
      </c>
      <c r="C136" s="29" t="s">
        <v>902</v>
      </c>
      <c r="D136" s="28" t="s">
        <v>186</v>
      </c>
      <c r="E136" s="29" t="s">
        <v>948</v>
      </c>
      <c r="F136" s="29" t="s">
        <v>485</v>
      </c>
      <c r="G136" s="40">
        <v>42401</v>
      </c>
      <c r="H136" s="29" t="str">
        <f>VLOOKUP(I136,Sheet1!$A$4:$B$20,2,0)</f>
        <v>Penata Muda Tk.I (Gol. III/b)</v>
      </c>
      <c r="I136" s="28" t="s">
        <v>373</v>
      </c>
      <c r="J136" s="30">
        <v>46113</v>
      </c>
      <c r="K136" s="31" t="s">
        <v>987</v>
      </c>
      <c r="L136" s="32" t="str">
        <f t="shared" ca="1" si="21"/>
        <v>0 tahun, 3 bulan</v>
      </c>
      <c r="M136" s="30" t="s">
        <v>528</v>
      </c>
      <c r="N136" s="30" t="s">
        <v>420</v>
      </c>
      <c r="O136" s="30">
        <v>34072</v>
      </c>
      <c r="P136" s="43" t="s">
        <v>933</v>
      </c>
      <c r="Q136" s="28" t="s">
        <v>847</v>
      </c>
      <c r="R136" s="35" t="str">
        <f t="shared" ca="1" si="22"/>
        <v>33 tahun</v>
      </c>
      <c r="S136" s="35" t="str">
        <f t="shared" ca="1" si="23"/>
        <v>3 bulan</v>
      </c>
      <c r="T136" s="35" t="str">
        <f t="shared" ca="1" si="24"/>
        <v>16 hari</v>
      </c>
      <c r="U136" s="36" t="str">
        <f ca="1">DATEDIF(G136,$A$2,"Y")&amp;" tahun, "&amp;DATEDIF(G136,$A$2,"Ym")&amp;" bulan"</f>
        <v>10 tahun, 5 bulan</v>
      </c>
      <c r="V136" s="37">
        <f t="shared" si="20"/>
        <v>55274</v>
      </c>
    </row>
    <row r="137" spans="1:22" s="38" customFormat="1" ht="14.55" customHeight="1">
      <c r="A137" s="26">
        <v>134</v>
      </c>
      <c r="B137" s="27" t="s">
        <v>201</v>
      </c>
      <c r="C137" s="29" t="s">
        <v>202</v>
      </c>
      <c r="D137" s="28" t="s">
        <v>186</v>
      </c>
      <c r="E137" s="29" t="s">
        <v>394</v>
      </c>
      <c r="F137" s="29" t="s">
        <v>187</v>
      </c>
      <c r="G137" s="40">
        <v>42401</v>
      </c>
      <c r="H137" s="29" t="str">
        <f>VLOOKUP(I137,Sheet1!$A$4:$B$20,2,0)</f>
        <v>Penata Muda Tk.I (Gol. III/b)</v>
      </c>
      <c r="I137" s="28" t="s">
        <v>373</v>
      </c>
      <c r="J137" s="30">
        <v>45566</v>
      </c>
      <c r="K137" s="31" t="s">
        <v>514</v>
      </c>
      <c r="L137" s="32" t="str">
        <f t="shared" ca="1" si="21"/>
        <v>1 tahun, 9 bulan</v>
      </c>
      <c r="M137" s="30" t="s">
        <v>528</v>
      </c>
      <c r="N137" s="30" t="s">
        <v>420</v>
      </c>
      <c r="O137" s="30">
        <v>29232</v>
      </c>
      <c r="P137" s="28" t="s">
        <v>849</v>
      </c>
      <c r="Q137" s="28" t="s">
        <v>848</v>
      </c>
      <c r="R137" s="35" t="str">
        <f t="shared" ca="1" si="22"/>
        <v>46 tahun</v>
      </c>
      <c r="S137" s="35" t="str">
        <f t="shared" ca="1" si="23"/>
        <v>6 bulan</v>
      </c>
      <c r="T137" s="35" t="str">
        <f t="shared" ca="1" si="24"/>
        <v>17 hari</v>
      </c>
      <c r="U137" s="36" t="str">
        <f ca="1">DATEDIF(G137,$A$2,"Y")&amp;" tahun, "&amp;DATEDIF(G137,$A$2,"Ym")&amp;" bulan"</f>
        <v>10 tahun, 5 bulan</v>
      </c>
      <c r="V137" s="37">
        <f t="shared" si="20"/>
        <v>50437</v>
      </c>
    </row>
    <row r="138" spans="1:22" s="38" customFormat="1" ht="14.55" customHeight="1">
      <c r="A138" s="26">
        <v>135</v>
      </c>
      <c r="B138" s="27" t="s">
        <v>120</v>
      </c>
      <c r="C138" s="29" t="s">
        <v>290</v>
      </c>
      <c r="D138" s="28" t="s">
        <v>182</v>
      </c>
      <c r="E138" s="29" t="s">
        <v>949</v>
      </c>
      <c r="F138" s="29" t="s">
        <v>481</v>
      </c>
      <c r="G138" s="40">
        <v>41883</v>
      </c>
      <c r="H138" s="29" t="str">
        <f>VLOOKUP(I138,Sheet1!$A$4:$B$20,2,0)</f>
        <v>Penata (Gol. III/c)</v>
      </c>
      <c r="I138" s="28" t="s">
        <v>374</v>
      </c>
      <c r="J138" s="30">
        <v>45627</v>
      </c>
      <c r="K138" s="31" t="s">
        <v>900</v>
      </c>
      <c r="L138" s="32" t="str">
        <f t="shared" ca="1" si="21"/>
        <v>1 tahun, 7 bulan</v>
      </c>
      <c r="M138" s="30" t="s">
        <v>528</v>
      </c>
      <c r="N138" s="30" t="s">
        <v>1</v>
      </c>
      <c r="O138" s="30">
        <v>30571</v>
      </c>
      <c r="P138" s="28" t="s">
        <v>697</v>
      </c>
      <c r="Q138" s="28" t="s">
        <v>696</v>
      </c>
      <c r="R138" s="35" t="str">
        <f t="shared" ca="1" si="22"/>
        <v>42 tahun</v>
      </c>
      <c r="S138" s="35" t="str">
        <f t="shared" ca="1" si="23"/>
        <v>10 bulan</v>
      </c>
      <c r="T138" s="35" t="str">
        <f t="shared" ca="1" si="24"/>
        <v>17 hari</v>
      </c>
      <c r="U138" s="36" t="str">
        <f ca="1">DATEDIF(G138,$A$2,"Y")&amp;" tahun, "&amp;DATEDIF(G138,$A$2,"Ym")&amp;" bulan"</f>
        <v>11 tahun, 10 bulan</v>
      </c>
      <c r="V138" s="37">
        <f t="shared" si="20"/>
        <v>51775</v>
      </c>
    </row>
    <row r="139" spans="1:22" s="38" customFormat="1" ht="14.55" customHeight="1">
      <c r="A139" s="26">
        <v>136</v>
      </c>
      <c r="B139" s="27" t="s">
        <v>121</v>
      </c>
      <c r="C139" s="29" t="s">
        <v>339</v>
      </c>
      <c r="D139" s="28" t="s">
        <v>182</v>
      </c>
      <c r="E139" s="29" t="s">
        <v>394</v>
      </c>
      <c r="F139" s="29" t="s">
        <v>183</v>
      </c>
      <c r="G139" s="40">
        <v>41883</v>
      </c>
      <c r="H139" s="29" t="str">
        <f>VLOOKUP(I139,Sheet1!$A$4:$B$20,2,0)</f>
        <v>Penata Muda (Gol. III/a)</v>
      </c>
      <c r="I139" s="33" t="s">
        <v>367</v>
      </c>
      <c r="J139" s="30">
        <v>45748</v>
      </c>
      <c r="K139" s="31" t="s">
        <v>498</v>
      </c>
      <c r="L139" s="32" t="str">
        <f t="shared" ca="1" si="21"/>
        <v>1 tahun, 3 bulan</v>
      </c>
      <c r="M139" s="30" t="s">
        <v>528</v>
      </c>
      <c r="N139" s="30" t="s">
        <v>1</v>
      </c>
      <c r="O139" s="30">
        <v>25848</v>
      </c>
      <c r="P139" s="28" t="s">
        <v>699</v>
      </c>
      <c r="Q139" s="28" t="s">
        <v>698</v>
      </c>
      <c r="R139" s="35" t="str">
        <f t="shared" ca="1" si="22"/>
        <v>55 tahun</v>
      </c>
      <c r="S139" s="35" t="str">
        <f t="shared" ca="1" si="23"/>
        <v>9 bulan</v>
      </c>
      <c r="T139" s="35" t="str">
        <f t="shared" ca="1" si="24"/>
        <v>22 hari</v>
      </c>
      <c r="U139" s="36" t="str">
        <f ca="1">DATEDIF(G139,$A$2,"Y")&amp;" tahun, "&amp;DATEDIF(G139,$A$2,"Ym")&amp;" bulan"</f>
        <v>11 tahun, 10 bulan</v>
      </c>
      <c r="V139" s="37">
        <f t="shared" si="20"/>
        <v>47058</v>
      </c>
    </row>
    <row r="140" spans="1:22" s="38" customFormat="1" ht="14.55" customHeight="1">
      <c r="A140" s="26">
        <v>137</v>
      </c>
      <c r="B140" s="27" t="s">
        <v>479</v>
      </c>
      <c r="C140" s="29" t="s">
        <v>480</v>
      </c>
      <c r="D140" s="28" t="s">
        <v>182</v>
      </c>
      <c r="E140" s="29" t="s">
        <v>957</v>
      </c>
      <c r="F140" s="29" t="s">
        <v>183</v>
      </c>
      <c r="G140" s="40">
        <v>39783</v>
      </c>
      <c r="H140" s="29" t="str">
        <f>VLOOKUP(I140,Sheet1!$A$4:$B$20,2,0)</f>
        <v>Penata Tk.I (Gol. III/d)</v>
      </c>
      <c r="I140" s="28" t="s">
        <v>372</v>
      </c>
      <c r="J140" s="30">
        <v>44652</v>
      </c>
      <c r="K140" s="31"/>
      <c r="L140" s="32" t="str">
        <f t="shared" ca="1" si="21"/>
        <v>4 tahun, 3 bulan</v>
      </c>
      <c r="M140" s="30" t="s">
        <v>528</v>
      </c>
      <c r="N140" s="30" t="s">
        <v>1</v>
      </c>
      <c r="O140" s="30">
        <v>30961</v>
      </c>
      <c r="P140" s="28" t="s">
        <v>701</v>
      </c>
      <c r="Q140" s="28" t="s">
        <v>700</v>
      </c>
      <c r="R140" s="35" t="str">
        <f t="shared" ca="1" si="22"/>
        <v>41 tahun</v>
      </c>
      <c r="S140" s="35" t="str">
        <f t="shared" ca="1" si="23"/>
        <v>9 bulan</v>
      </c>
      <c r="T140" s="35" t="str">
        <f t="shared" ca="1" si="24"/>
        <v>23 hari</v>
      </c>
      <c r="U140" s="36" t="str">
        <f ca="1">DATEDIF(G140,$A$2,"Y")&amp;" tahun, "&amp;DATEDIF(G140,$A$2,"Ym")&amp;" bulan"</f>
        <v>17 tahun, 7 bulan</v>
      </c>
      <c r="V140" s="37">
        <f t="shared" si="20"/>
        <v>52171</v>
      </c>
    </row>
    <row r="141" spans="1:22" s="38" customFormat="1" ht="14.55" customHeight="1">
      <c r="A141" s="26">
        <v>138</v>
      </c>
      <c r="B141" s="27" t="s">
        <v>535</v>
      </c>
      <c r="C141" s="29" t="s">
        <v>899</v>
      </c>
      <c r="D141" s="28" t="s">
        <v>186</v>
      </c>
      <c r="E141" s="29" t="s">
        <v>947</v>
      </c>
      <c r="F141" s="29" t="s">
        <v>485</v>
      </c>
      <c r="G141" s="40">
        <v>45505</v>
      </c>
      <c r="H141" s="29" t="str">
        <f>VLOOKUP(I141,Sheet1!$A$4:$B$20,2,0)</f>
        <v>Pengatur (Gol. II/c)</v>
      </c>
      <c r="I141" s="28" t="s">
        <v>369</v>
      </c>
      <c r="J141" s="28" t="s">
        <v>882</v>
      </c>
      <c r="K141" s="31"/>
      <c r="L141" s="32" t="str">
        <f t="shared" ca="1" si="21"/>
        <v>1 tahun, 11 bulan</v>
      </c>
      <c r="M141" s="30" t="s">
        <v>528</v>
      </c>
      <c r="N141" s="30" t="s">
        <v>1</v>
      </c>
      <c r="O141" s="30">
        <v>35126</v>
      </c>
      <c r="P141" s="28" t="s">
        <v>890</v>
      </c>
      <c r="Q141" s="28"/>
      <c r="R141" s="35" t="str">
        <f t="shared" ca="1" si="22"/>
        <v>30 tahun</v>
      </c>
      <c r="S141" s="35" t="str">
        <f t="shared" ca="1" si="23"/>
        <v>4 bulan</v>
      </c>
      <c r="T141" s="35" t="str">
        <f t="shared" ca="1" si="24"/>
        <v>27 hari</v>
      </c>
      <c r="U141" s="36" t="str">
        <f ca="1">DATEDIF(G141,$A$2,"Y")&amp;" tahun, "&amp;DATEDIF(G141,$A$2,"Ym")&amp;" bulan"</f>
        <v>1 tahun, 11 bulan</v>
      </c>
      <c r="V141" s="37">
        <f t="shared" si="20"/>
        <v>56340</v>
      </c>
    </row>
    <row r="142" spans="1:22" s="38" customFormat="1" ht="14.55" customHeight="1">
      <c r="A142" s="26">
        <v>139</v>
      </c>
      <c r="B142" s="44" t="s">
        <v>979</v>
      </c>
      <c r="C142" s="29" t="s">
        <v>980</v>
      </c>
      <c r="D142" s="28" t="s">
        <v>182</v>
      </c>
      <c r="E142" s="29" t="s">
        <v>981</v>
      </c>
      <c r="F142" s="29" t="s">
        <v>183</v>
      </c>
      <c r="G142" s="40">
        <v>40148</v>
      </c>
      <c r="H142" s="29" t="str">
        <f>VLOOKUP(I142,Sheet1!$A$4:$B$20,2,0)</f>
        <v>Penata Tk.I (Gol. III/d)</v>
      </c>
      <c r="I142" s="28" t="s">
        <v>372</v>
      </c>
      <c r="J142" s="30">
        <v>44652</v>
      </c>
      <c r="K142" s="31" t="s">
        <v>497</v>
      </c>
      <c r="L142" s="32" t="str">
        <f t="shared" ca="1" si="21"/>
        <v>4 tahun, 3 bulan</v>
      </c>
      <c r="M142" s="30" t="s">
        <v>527</v>
      </c>
      <c r="N142" s="30" t="s">
        <v>1</v>
      </c>
      <c r="O142" s="30">
        <v>29717</v>
      </c>
      <c r="P142" s="28" t="s">
        <v>982</v>
      </c>
      <c r="Q142" s="28" t="s">
        <v>0</v>
      </c>
      <c r="R142" s="35" t="str">
        <f t="shared" ca="1" si="22"/>
        <v>45 tahun</v>
      </c>
      <c r="S142" s="35" t="str">
        <f t="shared" ca="1" si="23"/>
        <v>2 bulan</v>
      </c>
      <c r="T142" s="35" t="str">
        <f t="shared" ca="1" si="24"/>
        <v>18 hari</v>
      </c>
      <c r="U142" s="36" t="str">
        <f ca="1">DATEDIF(G142,$A$2,"Y")&amp;" tahun, "&amp;DATEDIF(G142,$A$2,"Ym")&amp;" bulan"</f>
        <v>16 tahun, 7 bulan</v>
      </c>
      <c r="V142" s="37">
        <f t="shared" si="20"/>
        <v>50922</v>
      </c>
    </row>
    <row r="143" spans="1:22" s="38" customFormat="1" ht="14.55" customHeight="1">
      <c r="A143" s="26">
        <v>140</v>
      </c>
      <c r="B143" s="27" t="s">
        <v>122</v>
      </c>
      <c r="C143" s="29" t="s">
        <v>306</v>
      </c>
      <c r="D143" s="28" t="s">
        <v>182</v>
      </c>
      <c r="E143" s="29" t="s">
        <v>412</v>
      </c>
      <c r="F143" s="29" t="s">
        <v>183</v>
      </c>
      <c r="G143" s="40">
        <v>41883</v>
      </c>
      <c r="H143" s="29" t="str">
        <f>VLOOKUP(I143,Sheet1!$A$4:$B$20,2,0)</f>
        <v>Penata Muda (Gol. III/a)</v>
      </c>
      <c r="I143" s="28" t="s">
        <v>367</v>
      </c>
      <c r="J143" s="30">
        <v>44835</v>
      </c>
      <c r="K143" s="31"/>
      <c r="L143" s="32" t="str">
        <f t="shared" ca="1" si="21"/>
        <v>3 tahun, 9 bulan</v>
      </c>
      <c r="M143" s="30" t="s">
        <v>527</v>
      </c>
      <c r="N143" s="30" t="s">
        <v>1</v>
      </c>
      <c r="O143" s="30">
        <v>29228</v>
      </c>
      <c r="P143" s="28" t="s">
        <v>703</v>
      </c>
      <c r="Q143" s="28" t="s">
        <v>702</v>
      </c>
      <c r="R143" s="35" t="str">
        <f t="shared" ca="1" si="22"/>
        <v>46 tahun</v>
      </c>
      <c r="S143" s="35" t="str">
        <f t="shared" ca="1" si="23"/>
        <v>6 bulan</v>
      </c>
      <c r="T143" s="35" t="str">
        <f t="shared" ca="1" si="24"/>
        <v>21 hari</v>
      </c>
      <c r="U143" s="36" t="str">
        <f ca="1">DATEDIF(G143,$A$2,"Y")&amp;" tahun, "&amp;DATEDIF(G143,$A$2,"Ym")&amp;" bulan"</f>
        <v>11 tahun, 10 bulan</v>
      </c>
      <c r="V143" s="37">
        <f t="shared" si="20"/>
        <v>50437</v>
      </c>
    </row>
    <row r="144" spans="1:22" s="38" customFormat="1" ht="14.55" customHeight="1">
      <c r="A144" s="26">
        <v>141</v>
      </c>
      <c r="B144" s="27" t="s">
        <v>123</v>
      </c>
      <c r="C144" s="29" t="s">
        <v>124</v>
      </c>
      <c r="D144" s="28" t="s">
        <v>182</v>
      </c>
      <c r="E144" s="29" t="s">
        <v>402</v>
      </c>
      <c r="F144" s="29" t="s">
        <v>183</v>
      </c>
      <c r="G144" s="40">
        <v>36220</v>
      </c>
      <c r="H144" s="29" t="str">
        <f>VLOOKUP(I144,Sheet1!$A$4:$B$20,2,0)</f>
        <v>Penata Muda Tk.I (Gol. III/b)</v>
      </c>
      <c r="I144" s="28" t="s">
        <v>373</v>
      </c>
      <c r="J144" s="30">
        <v>43556</v>
      </c>
      <c r="K144" s="31"/>
      <c r="L144" s="32" t="str">
        <f t="shared" ca="1" si="21"/>
        <v>7 tahun, 3 bulan</v>
      </c>
      <c r="M144" s="30" t="s">
        <v>527</v>
      </c>
      <c r="N144" s="30" t="s">
        <v>1</v>
      </c>
      <c r="O144" s="30">
        <v>28879</v>
      </c>
      <c r="P144" s="28" t="s">
        <v>705</v>
      </c>
      <c r="Q144" s="28" t="s">
        <v>704</v>
      </c>
      <c r="R144" s="35" t="str">
        <f t="shared" ca="1" si="22"/>
        <v>47 tahun</v>
      </c>
      <c r="S144" s="35" t="str">
        <f t="shared" ca="1" si="23"/>
        <v>6 bulan</v>
      </c>
      <c r="T144" s="35" t="str">
        <f t="shared" ca="1" si="24"/>
        <v>5 hari</v>
      </c>
      <c r="U144" s="36" t="str">
        <f ca="1">DATEDIF(G144,$A$2,"Y")&amp;" tahun, "&amp;DATEDIF(G144,$A$2,"Ym")&amp;" bulan"</f>
        <v>27 tahun, 4 bulan</v>
      </c>
      <c r="V144" s="37">
        <f t="shared" si="20"/>
        <v>50072</v>
      </c>
    </row>
    <row r="145" spans="1:22" s="38" customFormat="1" ht="14.55" customHeight="1">
      <c r="A145" s="26">
        <v>142</v>
      </c>
      <c r="B145" s="27" t="s">
        <v>125</v>
      </c>
      <c r="C145" s="29" t="s">
        <v>126</v>
      </c>
      <c r="D145" s="28" t="s">
        <v>182</v>
      </c>
      <c r="E145" s="29" t="s">
        <v>395</v>
      </c>
      <c r="F145" s="29" t="s">
        <v>183</v>
      </c>
      <c r="G145" s="40">
        <v>41883</v>
      </c>
      <c r="H145" s="29" t="str">
        <f>VLOOKUP(I145,Sheet1!$A$4:$B$20,2,0)</f>
        <v>Pengatur (Gol. II/c)</v>
      </c>
      <c r="I145" s="28" t="s">
        <v>369</v>
      </c>
      <c r="J145" s="30">
        <v>44835</v>
      </c>
      <c r="K145" s="31"/>
      <c r="L145" s="32" t="str">
        <f t="shared" ca="1" si="21"/>
        <v>3 tahun, 9 bulan</v>
      </c>
      <c r="M145" s="30" t="s">
        <v>527</v>
      </c>
      <c r="N145" s="30" t="s">
        <v>1</v>
      </c>
      <c r="O145" s="30">
        <v>30143</v>
      </c>
      <c r="P145" s="28" t="s">
        <v>707</v>
      </c>
      <c r="Q145" s="28" t="s">
        <v>706</v>
      </c>
      <c r="R145" s="35" t="str">
        <f t="shared" ca="1" si="22"/>
        <v>44 tahun</v>
      </c>
      <c r="S145" s="35" t="str">
        <f t="shared" ca="1" si="23"/>
        <v>0 bulan</v>
      </c>
      <c r="T145" s="35" t="str">
        <f t="shared" ca="1" si="24"/>
        <v>18 hari</v>
      </c>
      <c r="U145" s="36" t="str">
        <f ca="1">DATEDIF(G145,$A$2,"Y")&amp;" tahun, "&amp;DATEDIF(G145,$A$2,"Ym")&amp;" bulan"</f>
        <v>11 tahun, 10 bulan</v>
      </c>
      <c r="V145" s="37">
        <f t="shared" si="20"/>
        <v>51349</v>
      </c>
    </row>
    <row r="146" spans="1:22" s="38" customFormat="1" ht="14.55" customHeight="1">
      <c r="A146" s="26">
        <v>143</v>
      </c>
      <c r="B146" s="27" t="s">
        <v>127</v>
      </c>
      <c r="C146" s="29" t="s">
        <v>265</v>
      </c>
      <c r="D146" s="28" t="s">
        <v>182</v>
      </c>
      <c r="E146" s="29" t="s">
        <v>944</v>
      </c>
      <c r="F146" s="29" t="s">
        <v>183</v>
      </c>
      <c r="G146" s="40">
        <v>41883</v>
      </c>
      <c r="H146" s="29" t="str">
        <f>VLOOKUP(I146,Sheet1!$A$4:$B$20,2,0)</f>
        <v>Penata Muda Tk.I (Gol. III/b)</v>
      </c>
      <c r="I146" s="28" t="s">
        <v>373</v>
      </c>
      <c r="J146" s="30">
        <v>44835</v>
      </c>
      <c r="K146" s="31"/>
      <c r="L146" s="32" t="str">
        <f t="shared" ca="1" si="21"/>
        <v>3 tahun, 9 bulan</v>
      </c>
      <c r="M146" s="30" t="s">
        <v>528</v>
      </c>
      <c r="N146" s="30" t="s">
        <v>1</v>
      </c>
      <c r="O146" s="30">
        <v>30356</v>
      </c>
      <c r="P146" s="43" t="s">
        <v>927</v>
      </c>
      <c r="Q146" s="28" t="s">
        <v>708</v>
      </c>
      <c r="R146" s="35" t="str">
        <f t="shared" ca="1" si="22"/>
        <v>43 tahun</v>
      </c>
      <c r="S146" s="35" t="str">
        <f t="shared" ca="1" si="23"/>
        <v>5 bulan</v>
      </c>
      <c r="T146" s="35" t="str">
        <f t="shared" ca="1" si="24"/>
        <v>20 hari</v>
      </c>
      <c r="U146" s="36" t="str">
        <f ca="1">DATEDIF(G146,$A$2,"Y")&amp;" tahun, "&amp;DATEDIF(G146,$A$2,"Ym")&amp;" bulan"</f>
        <v>11 tahun, 10 bulan</v>
      </c>
      <c r="V146" s="37">
        <f t="shared" si="20"/>
        <v>51561</v>
      </c>
    </row>
    <row r="147" spans="1:22" s="38" customFormat="1" ht="14.55" customHeight="1">
      <c r="A147" s="26">
        <v>144</v>
      </c>
      <c r="B147" s="27" t="s">
        <v>311</v>
      </c>
      <c r="C147" s="29" t="s">
        <v>312</v>
      </c>
      <c r="D147" s="28" t="s">
        <v>186</v>
      </c>
      <c r="E147" s="29" t="s">
        <v>948</v>
      </c>
      <c r="F147" s="29" t="s">
        <v>485</v>
      </c>
      <c r="G147" s="40">
        <v>42401</v>
      </c>
      <c r="H147" s="29" t="str">
        <f>VLOOKUP(I147,Sheet1!$A$4:$B$20,2,0)</f>
        <v>Penata Muda Tk.I (Gol. III/b)</v>
      </c>
      <c r="I147" s="28" t="s">
        <v>373</v>
      </c>
      <c r="J147" s="30">
        <v>46113</v>
      </c>
      <c r="K147" s="31" t="s">
        <v>986</v>
      </c>
      <c r="L147" s="32" t="str">
        <f t="shared" ca="1" si="21"/>
        <v>0 tahun, 3 bulan</v>
      </c>
      <c r="M147" s="30" t="s">
        <v>528</v>
      </c>
      <c r="N147" s="30" t="s">
        <v>1</v>
      </c>
      <c r="O147" s="30">
        <v>31703</v>
      </c>
      <c r="P147" s="43" t="s">
        <v>920</v>
      </c>
      <c r="Q147" s="28" t="s">
        <v>850</v>
      </c>
      <c r="R147" s="35" t="str">
        <f t="shared" ca="1" si="22"/>
        <v>39 tahun</v>
      </c>
      <c r="S147" s="35" t="str">
        <f t="shared" ca="1" si="23"/>
        <v>9 bulan</v>
      </c>
      <c r="T147" s="35" t="str">
        <f t="shared" ca="1" si="24"/>
        <v>11 hari</v>
      </c>
      <c r="U147" s="36" t="str">
        <f ca="1">DATEDIF(G147,$A$2,"Y")&amp;" tahun, "&amp;DATEDIF(G147,$A$2,"Ym")&amp;" bulan"</f>
        <v>10 tahun, 5 bulan</v>
      </c>
      <c r="V147" s="37">
        <f t="shared" si="20"/>
        <v>52902</v>
      </c>
    </row>
    <row r="148" spans="1:22" s="38" customFormat="1" ht="14.55" customHeight="1">
      <c r="A148" s="26">
        <v>145</v>
      </c>
      <c r="B148" s="27" t="s">
        <v>128</v>
      </c>
      <c r="C148" s="29" t="s">
        <v>253</v>
      </c>
      <c r="D148" s="28" t="s">
        <v>182</v>
      </c>
      <c r="E148" s="29" t="s">
        <v>402</v>
      </c>
      <c r="F148" s="29" t="s">
        <v>183</v>
      </c>
      <c r="G148" s="40">
        <v>41883</v>
      </c>
      <c r="H148" s="29" t="str">
        <f>VLOOKUP(I148,Sheet1!$A$4:$B$20,2,0)</f>
        <v>Penata Muda (Gol. III/a)</v>
      </c>
      <c r="I148" s="33" t="s">
        <v>367</v>
      </c>
      <c r="J148" s="30">
        <v>45566</v>
      </c>
      <c r="K148" s="31" t="s">
        <v>520</v>
      </c>
      <c r="L148" s="32" t="str">
        <f t="shared" ca="1" si="21"/>
        <v>1 tahun, 9 bulan</v>
      </c>
      <c r="M148" s="30" t="s">
        <v>527</v>
      </c>
      <c r="N148" s="30" t="s">
        <v>1</v>
      </c>
      <c r="O148" s="30">
        <v>25212</v>
      </c>
      <c r="P148" s="28" t="s">
        <v>710</v>
      </c>
      <c r="Q148" s="28" t="s">
        <v>709</v>
      </c>
      <c r="R148" s="35" t="str">
        <f t="shared" ca="1" si="22"/>
        <v>57 tahun</v>
      </c>
      <c r="S148" s="35" t="str">
        <f t="shared" ca="1" si="23"/>
        <v>6 bulan</v>
      </c>
      <c r="T148" s="35" t="str">
        <f t="shared" ca="1" si="24"/>
        <v>20 hari</v>
      </c>
      <c r="U148" s="36" t="str">
        <f ca="1">DATEDIF(G148,$A$2,"Y")&amp;" tahun, "&amp;DATEDIF(G148,$A$2,"Ym")&amp;" bulan"</f>
        <v>11 tahun, 10 bulan</v>
      </c>
      <c r="V148" s="37">
        <f t="shared" si="20"/>
        <v>46419</v>
      </c>
    </row>
    <row r="149" spans="1:22" s="38" customFormat="1" ht="14.55" customHeight="1">
      <c r="A149" s="26">
        <v>146</v>
      </c>
      <c r="B149" s="27" t="s">
        <v>968</v>
      </c>
      <c r="C149" s="29" t="s">
        <v>983</v>
      </c>
      <c r="D149" s="28" t="s">
        <v>182</v>
      </c>
      <c r="E149" s="29" t="s">
        <v>969</v>
      </c>
      <c r="F149" s="29" t="s">
        <v>183</v>
      </c>
      <c r="G149" s="40">
        <v>41883</v>
      </c>
      <c r="H149" s="29" t="str">
        <f>VLOOKUP(I149,Sheet1!$A$4:$B$20,2,0)</f>
        <v>Penata Muda Tk.I (Gol. III/b)</v>
      </c>
      <c r="I149" s="28" t="s">
        <v>373</v>
      </c>
      <c r="J149" s="30">
        <v>44835</v>
      </c>
      <c r="K149" s="31" t="s">
        <v>970</v>
      </c>
      <c r="L149" s="32" t="str">
        <f t="shared" ca="1" si="21"/>
        <v>3 tahun, 9 bulan</v>
      </c>
      <c r="M149" s="30" t="s">
        <v>528</v>
      </c>
      <c r="N149" s="30" t="s">
        <v>420</v>
      </c>
      <c r="O149" s="30">
        <v>31677</v>
      </c>
      <c r="P149" s="28" t="s">
        <v>971</v>
      </c>
      <c r="Q149" s="28" t="s">
        <v>972</v>
      </c>
      <c r="R149" s="35" t="str">
        <f t="shared" ca="1" si="22"/>
        <v>39 tahun</v>
      </c>
      <c r="S149" s="35" t="str">
        <f t="shared" ca="1" si="23"/>
        <v>10 bulan</v>
      </c>
      <c r="T149" s="35" t="str">
        <f t="shared" ca="1" si="24"/>
        <v>7 hari</v>
      </c>
      <c r="U149" s="36" t="str">
        <f ca="1">DATEDIF(G149,$A$2,"Y")&amp;" tahun, "&amp;DATEDIF(G149,$A$2,"Ym")&amp;" bulan"</f>
        <v>11 tahun, 10 bulan</v>
      </c>
      <c r="V149" s="37">
        <f t="shared" si="20"/>
        <v>52871</v>
      </c>
    </row>
    <row r="150" spans="1:22" s="38" customFormat="1" ht="14.55" customHeight="1">
      <c r="A150" s="26">
        <v>147</v>
      </c>
      <c r="B150" s="27" t="s">
        <v>286</v>
      </c>
      <c r="C150" s="29" t="s">
        <v>287</v>
      </c>
      <c r="D150" s="28" t="s">
        <v>186</v>
      </c>
      <c r="E150" s="29" t="s">
        <v>948</v>
      </c>
      <c r="F150" s="29" t="s">
        <v>485</v>
      </c>
      <c r="G150" s="40">
        <v>42583</v>
      </c>
      <c r="H150" s="29" t="str">
        <f>VLOOKUP(I150,Sheet1!$A$4:$B$20,2,0)</f>
        <v>Penata Muda (Gol. III/a)</v>
      </c>
      <c r="I150" s="28" t="s">
        <v>367</v>
      </c>
      <c r="J150" s="30">
        <v>43101</v>
      </c>
      <c r="K150" s="31"/>
      <c r="L150" s="32" t="str">
        <f t="shared" ca="1" si="21"/>
        <v>8 tahun, 6 bulan</v>
      </c>
      <c r="M150" s="30" t="s">
        <v>527</v>
      </c>
      <c r="N150" s="30" t="s">
        <v>1</v>
      </c>
      <c r="O150" s="30">
        <v>32598</v>
      </c>
      <c r="P150" s="28" t="s">
        <v>852</v>
      </c>
      <c r="Q150" s="28" t="s">
        <v>851</v>
      </c>
      <c r="R150" s="35" t="str">
        <f t="shared" ca="1" si="22"/>
        <v>37 tahun</v>
      </c>
      <c r="S150" s="35" t="str">
        <f t="shared" ca="1" si="23"/>
        <v>3 bulan</v>
      </c>
      <c r="T150" s="35" t="str">
        <f t="shared" ca="1" si="24"/>
        <v>28 hari</v>
      </c>
      <c r="U150" s="36" t="str">
        <f ca="1">DATEDIF(G150,$A$2,"Y")&amp;" tahun, "&amp;DATEDIF(G150,$A$2,"Ym")&amp;" bulan"</f>
        <v>9 tahun, 11 bulan</v>
      </c>
      <c r="V150" s="37">
        <f t="shared" si="20"/>
        <v>53783</v>
      </c>
    </row>
    <row r="151" spans="1:22" s="38" customFormat="1" ht="14.55" customHeight="1">
      <c r="A151" s="26">
        <v>148</v>
      </c>
      <c r="B151" s="27" t="s">
        <v>129</v>
      </c>
      <c r="C151" s="29" t="s">
        <v>197</v>
      </c>
      <c r="D151" s="28" t="s">
        <v>182</v>
      </c>
      <c r="E151" s="29" t="s">
        <v>402</v>
      </c>
      <c r="F151" s="29" t="s">
        <v>183</v>
      </c>
      <c r="G151" s="40">
        <v>37956</v>
      </c>
      <c r="H151" s="29" t="str">
        <f>VLOOKUP(I151,Sheet1!$A$4:$B$20,2,0)</f>
        <v>Penata Tk.I (Gol. III/d)</v>
      </c>
      <c r="I151" s="28" t="s">
        <v>372</v>
      </c>
      <c r="J151" s="30">
        <v>45383</v>
      </c>
      <c r="K151" s="31" t="s">
        <v>507</v>
      </c>
      <c r="L151" s="32" t="str">
        <f t="shared" ca="1" si="21"/>
        <v>2 tahun, 3 bulan</v>
      </c>
      <c r="M151" s="30" t="s">
        <v>527</v>
      </c>
      <c r="N151" s="30" t="s">
        <v>1</v>
      </c>
      <c r="O151" s="30">
        <v>27510</v>
      </c>
      <c r="P151" s="28" t="s">
        <v>712</v>
      </c>
      <c r="Q151" s="28" t="s">
        <v>711</v>
      </c>
      <c r="R151" s="35" t="str">
        <f t="shared" ca="1" si="22"/>
        <v>51 tahun</v>
      </c>
      <c r="S151" s="35" t="str">
        <f t="shared" ca="1" si="23"/>
        <v>3 bulan</v>
      </c>
      <c r="T151" s="35" t="str">
        <f t="shared" ca="1" si="24"/>
        <v>3 hari</v>
      </c>
      <c r="U151" s="36" t="str">
        <f ca="1">DATEDIF(G151,$A$2,"Y")&amp;" tahun, "&amp;DATEDIF(G151,$A$2,"Ym")&amp;" bulan"</f>
        <v>22 tahun, 7 bulan</v>
      </c>
      <c r="V151" s="37">
        <f t="shared" si="20"/>
        <v>48700</v>
      </c>
    </row>
    <row r="152" spans="1:22" s="38" customFormat="1" ht="14.55" customHeight="1">
      <c r="A152" s="26">
        <v>149</v>
      </c>
      <c r="B152" s="27" t="s">
        <v>221</v>
      </c>
      <c r="C152" s="29" t="s">
        <v>222</v>
      </c>
      <c r="D152" s="28" t="s">
        <v>186</v>
      </c>
      <c r="E152" s="29" t="s">
        <v>401</v>
      </c>
      <c r="F152" s="29" t="s">
        <v>187</v>
      </c>
      <c r="G152" s="40">
        <v>41183</v>
      </c>
      <c r="H152" s="29" t="str">
        <f>VLOOKUP(I152,Sheet1!$A$4:$B$20,2,0)</f>
        <v>Pengatur Tk. I (Gol. II/d)</v>
      </c>
      <c r="I152" s="28" t="s">
        <v>370</v>
      </c>
      <c r="J152" s="30">
        <v>45566</v>
      </c>
      <c r="K152" s="31" t="s">
        <v>491</v>
      </c>
      <c r="L152" s="32" t="str">
        <f t="shared" ca="1" si="21"/>
        <v>1 tahun, 9 bulan</v>
      </c>
      <c r="M152" s="30" t="s">
        <v>527</v>
      </c>
      <c r="N152" s="30" t="s">
        <v>431</v>
      </c>
      <c r="O152" s="30">
        <v>32536</v>
      </c>
      <c r="P152" s="28" t="s">
        <v>854</v>
      </c>
      <c r="Q152" s="28" t="s">
        <v>853</v>
      </c>
      <c r="R152" s="35" t="str">
        <f t="shared" ca="1" si="22"/>
        <v>37 tahun</v>
      </c>
      <c r="S152" s="35" t="str">
        <f t="shared" ca="1" si="23"/>
        <v>6 bulan</v>
      </c>
      <c r="T152" s="35" t="str">
        <f t="shared" ca="1" si="24"/>
        <v>1 hari</v>
      </c>
      <c r="U152" s="36" t="str">
        <f ca="1">DATEDIF(G152,$A$2,"Y")&amp;" tahun, "&amp;DATEDIF(G152,$A$2,"Ym")&amp;" bulan"</f>
        <v>13 tahun, 9 bulan</v>
      </c>
      <c r="V152" s="37">
        <f t="shared" si="20"/>
        <v>53724</v>
      </c>
    </row>
    <row r="153" spans="1:22" s="38" customFormat="1" ht="14.55" customHeight="1">
      <c r="A153" s="26">
        <v>150</v>
      </c>
      <c r="B153" s="27" t="s">
        <v>130</v>
      </c>
      <c r="C153" s="29" t="s">
        <v>131</v>
      </c>
      <c r="D153" s="28" t="s">
        <v>182</v>
      </c>
      <c r="E153" s="29" t="s">
        <v>394</v>
      </c>
      <c r="F153" s="29" t="s">
        <v>183</v>
      </c>
      <c r="G153" s="40">
        <v>39722</v>
      </c>
      <c r="H153" s="29" t="str">
        <f>VLOOKUP(I153,Sheet1!$A$4:$B$20,2,0)</f>
        <v>Penata Muda (Gol. III/a)</v>
      </c>
      <c r="I153" s="33" t="s">
        <v>367</v>
      </c>
      <c r="J153" s="30">
        <v>45566</v>
      </c>
      <c r="K153" s="31" t="s">
        <v>516</v>
      </c>
      <c r="L153" s="32" t="str">
        <f t="shared" ca="1" si="21"/>
        <v>1 tahun, 9 bulan</v>
      </c>
      <c r="M153" s="30" t="s">
        <v>528</v>
      </c>
      <c r="N153" s="30" t="s">
        <v>1</v>
      </c>
      <c r="O153" s="30">
        <v>28047</v>
      </c>
      <c r="P153" s="28" t="s">
        <v>714</v>
      </c>
      <c r="Q153" s="28" t="s">
        <v>713</v>
      </c>
      <c r="R153" s="35" t="str">
        <f t="shared" ca="1" si="22"/>
        <v>49 tahun</v>
      </c>
      <c r="S153" s="35" t="str">
        <f t="shared" ca="1" si="23"/>
        <v>9 bulan</v>
      </c>
      <c r="T153" s="35" t="str">
        <f t="shared" ca="1" si="24"/>
        <v>15 hari</v>
      </c>
      <c r="U153" s="36" t="str">
        <f ca="1">DATEDIF(G153,$A$2,"Y")&amp;" tahun, "&amp;DATEDIF(G153,$A$2,"Ym")&amp;" bulan"</f>
        <v>17 tahun, 9 bulan</v>
      </c>
      <c r="V153" s="37">
        <f t="shared" si="20"/>
        <v>49249</v>
      </c>
    </row>
    <row r="154" spans="1:22" s="38" customFormat="1" ht="14.55" customHeight="1">
      <c r="A154" s="26">
        <v>151</v>
      </c>
      <c r="B154" s="27" t="s">
        <v>132</v>
      </c>
      <c r="C154" s="29" t="s">
        <v>133</v>
      </c>
      <c r="D154" s="28" t="s">
        <v>182</v>
      </c>
      <c r="E154" s="29" t="s">
        <v>401</v>
      </c>
      <c r="F154" s="29" t="s">
        <v>183</v>
      </c>
      <c r="G154" s="40">
        <v>40087</v>
      </c>
      <c r="H154" s="29" t="str">
        <f>VLOOKUP(I154,Sheet1!$A$4:$B$20,2,0)</f>
        <v>Penata Muda (Gol. III/a)</v>
      </c>
      <c r="I154" s="28" t="s">
        <v>367</v>
      </c>
      <c r="J154" s="30">
        <v>45931</v>
      </c>
      <c r="K154" s="31" t="s">
        <v>939</v>
      </c>
      <c r="L154" s="32" t="str">
        <f t="shared" ca="1" si="21"/>
        <v>0 tahun, 9 bulan</v>
      </c>
      <c r="M154" s="30" t="s">
        <v>527</v>
      </c>
      <c r="N154" s="30" t="s">
        <v>1</v>
      </c>
      <c r="O154" s="30">
        <v>30096</v>
      </c>
      <c r="P154" s="43" t="s">
        <v>716</v>
      </c>
      <c r="Q154" s="28" t="s">
        <v>715</v>
      </c>
      <c r="R154" s="35" t="str">
        <f t="shared" ca="1" si="22"/>
        <v>44 tahun</v>
      </c>
      <c r="S154" s="35" t="str">
        <f t="shared" ca="1" si="23"/>
        <v>2 bulan</v>
      </c>
      <c r="T154" s="35" t="str">
        <f t="shared" ca="1" si="24"/>
        <v>4 hari</v>
      </c>
      <c r="U154" s="36" t="str">
        <f ca="1">DATEDIF(G154,$A$2,"Y")&amp;" tahun, "&amp;DATEDIF(G154,$A$2,"Ym")&amp;" bulan"</f>
        <v>16 tahun, 9 bulan</v>
      </c>
      <c r="V154" s="37">
        <f t="shared" si="20"/>
        <v>51288</v>
      </c>
    </row>
    <row r="155" spans="1:22" s="38" customFormat="1" ht="14.55" customHeight="1">
      <c r="A155" s="26">
        <v>152</v>
      </c>
      <c r="B155" s="27" t="s">
        <v>356</v>
      </c>
      <c r="C155" s="29" t="s">
        <v>357</v>
      </c>
      <c r="D155" s="28" t="s">
        <v>186</v>
      </c>
      <c r="E155" s="29" t="s">
        <v>419</v>
      </c>
      <c r="F155" s="29" t="s">
        <v>187</v>
      </c>
      <c r="G155" s="40">
        <v>41183</v>
      </c>
      <c r="H155" s="29" t="str">
        <f>VLOOKUP(I155,Sheet1!$A$4:$B$20,2,0)</f>
        <v>Penata Muda Tk.I (Gol. III/b)</v>
      </c>
      <c r="I155" s="28" t="s">
        <v>373</v>
      </c>
      <c r="J155" s="30">
        <v>44835</v>
      </c>
      <c r="K155" s="31"/>
      <c r="L155" s="32" t="str">
        <f t="shared" ca="1" si="21"/>
        <v>3 tahun, 9 bulan</v>
      </c>
      <c r="M155" s="30" t="s">
        <v>527</v>
      </c>
      <c r="N155" s="30" t="s">
        <v>425</v>
      </c>
      <c r="O155" s="30">
        <v>32637</v>
      </c>
      <c r="P155" s="43" t="s">
        <v>856</v>
      </c>
      <c r="Q155" s="43" t="s">
        <v>855</v>
      </c>
      <c r="R155" s="35" t="str">
        <f t="shared" ca="1" si="22"/>
        <v>37 tahun</v>
      </c>
      <c r="S155" s="35" t="str">
        <f t="shared" ca="1" si="23"/>
        <v>2 bulan</v>
      </c>
      <c r="T155" s="35" t="str">
        <f t="shared" ca="1" si="24"/>
        <v>20 hari</v>
      </c>
      <c r="U155" s="36" t="str">
        <f ca="1">DATEDIF(G155,$A$2,"Y")&amp;" tahun, "&amp;DATEDIF(G155,$A$2,"Ym")&amp;" bulan"</f>
        <v>13 tahun, 9 bulan</v>
      </c>
      <c r="V155" s="37">
        <f t="shared" si="20"/>
        <v>53844</v>
      </c>
    </row>
    <row r="156" spans="1:22" s="38" customFormat="1" ht="14.55" customHeight="1">
      <c r="A156" s="26">
        <v>153</v>
      </c>
      <c r="B156" s="27" t="s">
        <v>341</v>
      </c>
      <c r="C156" s="29" t="s">
        <v>342</v>
      </c>
      <c r="D156" s="28" t="s">
        <v>186</v>
      </c>
      <c r="E156" s="29" t="s">
        <v>959</v>
      </c>
      <c r="F156" s="29" t="s">
        <v>187</v>
      </c>
      <c r="G156" s="40">
        <v>42401</v>
      </c>
      <c r="H156" s="29" t="str">
        <f>VLOOKUP(I156,Sheet1!$A$4:$B$20,2,0)</f>
        <v>Pengatur (Gol. II/c)</v>
      </c>
      <c r="I156" s="33" t="s">
        <v>369</v>
      </c>
      <c r="J156" s="30">
        <v>45748</v>
      </c>
      <c r="K156" s="31" t="s">
        <v>904</v>
      </c>
      <c r="L156" s="32" t="str">
        <f t="shared" ca="1" si="21"/>
        <v>1 tahun, 3 bulan</v>
      </c>
      <c r="M156" s="30" t="s">
        <v>527</v>
      </c>
      <c r="N156" s="30" t="s">
        <v>1</v>
      </c>
      <c r="O156" s="30">
        <v>30824</v>
      </c>
      <c r="P156" s="28" t="s">
        <v>858</v>
      </c>
      <c r="Q156" s="28" t="s">
        <v>857</v>
      </c>
      <c r="R156" s="35" t="str">
        <f t="shared" ca="1" si="22"/>
        <v>42 tahun</v>
      </c>
      <c r="S156" s="35" t="str">
        <f t="shared" ca="1" si="23"/>
        <v>2 bulan</v>
      </c>
      <c r="T156" s="35" t="str">
        <f t="shared" ca="1" si="24"/>
        <v>7 hari</v>
      </c>
      <c r="U156" s="36" t="str">
        <f ca="1">DATEDIF(G156,$A$2,"Y")&amp;" tahun, "&amp;DATEDIF(G156,$A$2,"Ym")&amp;" bulan"</f>
        <v>10 tahun, 5 bulan</v>
      </c>
      <c r="V156" s="37">
        <f t="shared" si="20"/>
        <v>52018</v>
      </c>
    </row>
    <row r="157" spans="1:22" s="38" customFormat="1" ht="14.55" customHeight="1">
      <c r="A157" s="26">
        <v>154</v>
      </c>
      <c r="B157" s="27" t="s">
        <v>134</v>
      </c>
      <c r="C157" s="29" t="s">
        <v>135</v>
      </c>
      <c r="D157" s="28" t="s">
        <v>182</v>
      </c>
      <c r="E157" s="29" t="s">
        <v>959</v>
      </c>
      <c r="F157" s="29" t="s">
        <v>183</v>
      </c>
      <c r="G157" s="40">
        <v>41883</v>
      </c>
      <c r="H157" s="29" t="str">
        <f>VLOOKUP(I157,Sheet1!$A$4:$B$20,2,0)</f>
        <v>Pengatur (Gol. II/c)</v>
      </c>
      <c r="I157" s="28" t="s">
        <v>369</v>
      </c>
      <c r="J157" s="30">
        <v>44835</v>
      </c>
      <c r="K157" s="31"/>
      <c r="L157" s="32" t="str">
        <f t="shared" ca="1" si="21"/>
        <v>3 tahun, 9 bulan</v>
      </c>
      <c r="M157" s="30" t="s">
        <v>527</v>
      </c>
      <c r="N157" s="30" t="s">
        <v>1</v>
      </c>
      <c r="O157" s="30">
        <v>27089</v>
      </c>
      <c r="P157" s="28" t="s">
        <v>718</v>
      </c>
      <c r="Q157" s="28" t="s">
        <v>717</v>
      </c>
      <c r="R157" s="35" t="str">
        <f t="shared" ca="1" si="22"/>
        <v>52 tahun</v>
      </c>
      <c r="S157" s="35" t="str">
        <f t="shared" ca="1" si="23"/>
        <v>4 bulan</v>
      </c>
      <c r="T157" s="35" t="str">
        <f t="shared" ca="1" si="24"/>
        <v>28 hari</v>
      </c>
      <c r="U157" s="36" t="str">
        <f ca="1">DATEDIF(G157,$A$2,"Y")&amp;" tahun, "&amp;DATEDIF(G157,$A$2,"Ym")&amp;" bulan"</f>
        <v>11 tahun, 10 bulan</v>
      </c>
      <c r="V157" s="37">
        <f t="shared" si="20"/>
        <v>48305</v>
      </c>
    </row>
    <row r="158" spans="1:22" s="38" customFormat="1" ht="14.55" customHeight="1">
      <c r="A158" s="26">
        <v>155</v>
      </c>
      <c r="B158" s="27" t="s">
        <v>136</v>
      </c>
      <c r="C158" s="29" t="s">
        <v>254</v>
      </c>
      <c r="D158" s="28" t="s">
        <v>182</v>
      </c>
      <c r="E158" s="29" t="s">
        <v>394</v>
      </c>
      <c r="F158" s="29" t="s">
        <v>481</v>
      </c>
      <c r="G158" s="40">
        <v>39722</v>
      </c>
      <c r="H158" s="29" t="str">
        <f>VLOOKUP(I158,Sheet1!$A$4:$B$20,2,0)</f>
        <v>Penata (Gol. III/c)</v>
      </c>
      <c r="I158" s="28" t="s">
        <v>374</v>
      </c>
      <c r="J158" s="30">
        <v>45931</v>
      </c>
      <c r="K158" s="31" t="s">
        <v>937</v>
      </c>
      <c r="L158" s="32" t="str">
        <f t="shared" ca="1" si="21"/>
        <v>0 tahun, 9 bulan</v>
      </c>
      <c r="M158" s="30" t="s">
        <v>528</v>
      </c>
      <c r="N158" s="30" t="s">
        <v>1</v>
      </c>
      <c r="O158" s="30">
        <v>27958</v>
      </c>
      <c r="P158" s="28" t="s">
        <v>720</v>
      </c>
      <c r="Q158" s="28" t="s">
        <v>719</v>
      </c>
      <c r="R158" s="35" t="str">
        <f t="shared" ca="1" si="22"/>
        <v>50 tahun</v>
      </c>
      <c r="S158" s="35" t="str">
        <f t="shared" ca="1" si="23"/>
        <v>0 bulan</v>
      </c>
      <c r="T158" s="35" t="str">
        <f t="shared" ca="1" si="24"/>
        <v>12 hari</v>
      </c>
      <c r="U158" s="36" t="str">
        <f ca="1">DATEDIF(G158,$A$2,"Y")&amp;" tahun, "&amp;DATEDIF(G158,$A$2,"Ym")&amp;" bulan"</f>
        <v>17 tahun, 9 bulan</v>
      </c>
      <c r="V158" s="37">
        <f t="shared" ref="V158:V188" si="25">DATE(YEAR(O158)+58,MONTH(O158)+1,1)</f>
        <v>49157</v>
      </c>
    </row>
    <row r="159" spans="1:22" s="38" customFormat="1" ht="14.55" customHeight="1">
      <c r="A159" s="26">
        <v>156</v>
      </c>
      <c r="B159" s="27" t="s">
        <v>137</v>
      </c>
      <c r="C159" s="29" t="s">
        <v>138</v>
      </c>
      <c r="D159" s="28" t="s">
        <v>182</v>
      </c>
      <c r="E159" s="29" t="s">
        <v>394</v>
      </c>
      <c r="F159" s="29" t="s">
        <v>183</v>
      </c>
      <c r="G159" s="40">
        <v>39722</v>
      </c>
      <c r="H159" s="29" t="str">
        <f>VLOOKUP(I159,Sheet1!$A$4:$B$20,2,0)</f>
        <v>Penata Muda (Gol. III/a)</v>
      </c>
      <c r="I159" s="33" t="s">
        <v>367</v>
      </c>
      <c r="J159" s="30">
        <v>45566</v>
      </c>
      <c r="K159" s="31" t="s">
        <v>523</v>
      </c>
      <c r="L159" s="32" t="str">
        <f t="shared" ca="1" si="21"/>
        <v>1 tahun, 9 bulan</v>
      </c>
      <c r="M159" s="30" t="s">
        <v>527</v>
      </c>
      <c r="N159" s="30" t="s">
        <v>1</v>
      </c>
      <c r="O159" s="30">
        <v>28108</v>
      </c>
      <c r="P159" s="28" t="s">
        <v>722</v>
      </c>
      <c r="Q159" s="28" t="s">
        <v>721</v>
      </c>
      <c r="R159" s="35" t="str">
        <f t="shared" ca="1" si="22"/>
        <v>49 tahun</v>
      </c>
      <c r="S159" s="35" t="str">
        <f t="shared" ca="1" si="23"/>
        <v>7 bulan</v>
      </c>
      <c r="T159" s="35" t="str">
        <f t="shared" ca="1" si="24"/>
        <v>15 hari</v>
      </c>
      <c r="U159" s="36" t="str">
        <f ca="1">DATEDIF(G159,$A$2,"Y")&amp;" tahun, "&amp;DATEDIF(G159,$A$2,"Ym")&amp;" bulan"</f>
        <v>17 tahun, 9 bulan</v>
      </c>
      <c r="V159" s="37">
        <f t="shared" si="25"/>
        <v>49310</v>
      </c>
    </row>
    <row r="160" spans="1:22" s="38" customFormat="1" ht="14.55" customHeight="1">
      <c r="A160" s="26">
        <v>157</v>
      </c>
      <c r="B160" s="27" t="s">
        <v>139</v>
      </c>
      <c r="C160" s="29" t="s">
        <v>140</v>
      </c>
      <c r="D160" s="28" t="s">
        <v>182</v>
      </c>
      <c r="E160" s="29" t="s">
        <v>393</v>
      </c>
      <c r="F160" s="29" t="s">
        <v>183</v>
      </c>
      <c r="G160" s="40">
        <v>39722</v>
      </c>
      <c r="H160" s="29" t="str">
        <f>VLOOKUP(I160,Sheet1!$A$4:$B$20,2,0)</f>
        <v>Pengatur (Gol. II/c)</v>
      </c>
      <c r="I160" s="28" t="s">
        <v>369</v>
      </c>
      <c r="J160" s="30">
        <v>45566</v>
      </c>
      <c r="K160" s="31" t="s">
        <v>517</v>
      </c>
      <c r="L160" s="32" t="str">
        <f t="shared" ca="1" si="21"/>
        <v>1 tahun, 9 bulan</v>
      </c>
      <c r="M160" s="30" t="s">
        <v>527</v>
      </c>
      <c r="N160" s="30" t="s">
        <v>421</v>
      </c>
      <c r="O160" s="30">
        <v>30086</v>
      </c>
      <c r="P160" s="28"/>
      <c r="Q160" s="28" t="s">
        <v>723</v>
      </c>
      <c r="R160" s="35" t="str">
        <f t="shared" ca="1" si="22"/>
        <v>44 tahun</v>
      </c>
      <c r="S160" s="35" t="str">
        <f t="shared" ca="1" si="23"/>
        <v>2 bulan</v>
      </c>
      <c r="T160" s="35" t="str">
        <f t="shared" ca="1" si="24"/>
        <v>14 hari</v>
      </c>
      <c r="U160" s="36" t="str">
        <f ca="1">DATEDIF(G160,$A$2,"Y")&amp;" tahun, "&amp;DATEDIF(G160,$A$2,"Ym")&amp;" bulan"</f>
        <v>17 tahun, 9 bulan</v>
      </c>
      <c r="V160" s="37">
        <f t="shared" si="25"/>
        <v>51288</v>
      </c>
    </row>
    <row r="161" spans="1:22" s="38" customFormat="1" ht="14.55" customHeight="1">
      <c r="A161" s="26">
        <v>158</v>
      </c>
      <c r="B161" s="27" t="s">
        <v>141</v>
      </c>
      <c r="C161" s="29" t="s">
        <v>142</v>
      </c>
      <c r="D161" s="28" t="s">
        <v>182</v>
      </c>
      <c r="E161" s="29" t="s">
        <v>947</v>
      </c>
      <c r="F161" s="29" t="s">
        <v>183</v>
      </c>
      <c r="G161" s="40">
        <v>36586</v>
      </c>
      <c r="H161" s="29" t="str">
        <f>VLOOKUP(I161,Sheet1!$A$4:$B$20,2,0)</f>
        <v>Pengatur Tk. I (Gol. II/d)</v>
      </c>
      <c r="I161" s="28" t="s">
        <v>370</v>
      </c>
      <c r="J161" s="30">
        <v>41000</v>
      </c>
      <c r="K161" s="31"/>
      <c r="L161" s="32" t="str">
        <f t="shared" ca="1" si="21"/>
        <v>14 tahun, 3 bulan</v>
      </c>
      <c r="M161" s="30" t="s">
        <v>527</v>
      </c>
      <c r="N161" s="30" t="s">
        <v>430</v>
      </c>
      <c r="O161" s="30">
        <v>28141</v>
      </c>
      <c r="P161" s="28" t="s">
        <v>725</v>
      </c>
      <c r="Q161" s="28" t="s">
        <v>724</v>
      </c>
      <c r="R161" s="35" t="str">
        <f t="shared" ca="1" si="22"/>
        <v>49 tahun</v>
      </c>
      <c r="S161" s="35" t="str">
        <f t="shared" ca="1" si="23"/>
        <v>6 bulan</v>
      </c>
      <c r="T161" s="35" t="str">
        <f t="shared" ca="1" si="24"/>
        <v>13 hari</v>
      </c>
      <c r="U161" s="36" t="str">
        <f ca="1">DATEDIF(G161,$A$2,"Y")&amp;" tahun, "&amp;DATEDIF(G161,$A$2,"Ym")&amp;" bulan"</f>
        <v>26 tahun, 4 bulan</v>
      </c>
      <c r="V161" s="37">
        <f t="shared" si="25"/>
        <v>49341</v>
      </c>
    </row>
    <row r="162" spans="1:22" s="38" customFormat="1" ht="14.55" customHeight="1">
      <c r="A162" s="26">
        <v>159</v>
      </c>
      <c r="B162" s="27" t="s">
        <v>245</v>
      </c>
      <c r="C162" s="29" t="s">
        <v>246</v>
      </c>
      <c r="D162" s="28" t="s">
        <v>186</v>
      </c>
      <c r="E162" s="29" t="s">
        <v>393</v>
      </c>
      <c r="F162" s="29" t="s">
        <v>187</v>
      </c>
      <c r="G162" s="40">
        <v>43617</v>
      </c>
      <c r="H162" s="29" t="str">
        <f>VLOOKUP(I162,Sheet1!$A$4:$B$20,2,0)</f>
        <v>Pengatur Muda Tk. I (Gol. II/b)</v>
      </c>
      <c r="I162" s="33" t="s">
        <v>368</v>
      </c>
      <c r="J162" s="30">
        <v>45931</v>
      </c>
      <c r="K162" s="31" t="s">
        <v>936</v>
      </c>
      <c r="L162" s="32" t="str">
        <f t="shared" ca="1" si="21"/>
        <v>0 tahun, 9 bulan</v>
      </c>
      <c r="M162" s="30" t="s">
        <v>527</v>
      </c>
      <c r="N162" s="30" t="s">
        <v>450</v>
      </c>
      <c r="O162" s="30">
        <v>28718</v>
      </c>
      <c r="P162" s="43" t="s">
        <v>928</v>
      </c>
      <c r="Q162" s="28" t="s">
        <v>859</v>
      </c>
      <c r="R162" s="35" t="str">
        <f t="shared" ca="1" si="22"/>
        <v>47 tahun</v>
      </c>
      <c r="S162" s="35" t="str">
        <f t="shared" ca="1" si="23"/>
        <v>11 bulan</v>
      </c>
      <c r="T162" s="35" t="str">
        <f t="shared" ca="1" si="24"/>
        <v>13 hari</v>
      </c>
      <c r="U162" s="36" t="str">
        <f ca="1">DATEDIF(G162,$A$2,"Y")&amp;" tahun, "&amp;DATEDIF(G162,$A$2,"Ym")&amp;" bulan"</f>
        <v>7 tahun, 1 bulan</v>
      </c>
      <c r="V162" s="37">
        <f t="shared" si="25"/>
        <v>49919</v>
      </c>
    </row>
    <row r="163" spans="1:22" s="38" customFormat="1" ht="14.55" customHeight="1">
      <c r="A163" s="26">
        <v>160</v>
      </c>
      <c r="B163" s="27" t="s">
        <v>210</v>
      </c>
      <c r="C163" s="29" t="s">
        <v>211</v>
      </c>
      <c r="D163" s="28" t="s">
        <v>186</v>
      </c>
      <c r="E163" s="29" t="s">
        <v>405</v>
      </c>
      <c r="F163" s="29" t="s">
        <v>187</v>
      </c>
      <c r="G163" s="40">
        <v>42401</v>
      </c>
      <c r="H163" s="29" t="str">
        <f>VLOOKUP(I163,Sheet1!$A$4:$B$20,2,0)</f>
        <v>Penata Muda Tk.I (Gol. III/b)</v>
      </c>
      <c r="I163" s="28" t="s">
        <v>373</v>
      </c>
      <c r="J163" s="30">
        <v>45017</v>
      </c>
      <c r="K163" s="31"/>
      <c r="L163" s="32" t="str">
        <f t="shared" ref="L163:L197" ca="1" si="26">DATEDIF(J163,$A$2,"Y")&amp;" tahun, "&amp;DATEDIF(J163,$A$2,"YM")&amp;" bulan"</f>
        <v>3 tahun, 3 bulan</v>
      </c>
      <c r="M163" s="30" t="s">
        <v>527</v>
      </c>
      <c r="N163" s="30" t="s">
        <v>1</v>
      </c>
      <c r="O163" s="30">
        <v>31738</v>
      </c>
      <c r="P163" s="28" t="s">
        <v>861</v>
      </c>
      <c r="Q163" s="28" t="s">
        <v>860</v>
      </c>
      <c r="R163" s="35" t="str">
        <f t="shared" ref="R163:R197" ca="1" si="27">DATEDIF(O163,$A$2,"Y")&amp;" tahun"</f>
        <v>39 tahun</v>
      </c>
      <c r="S163" s="35" t="str">
        <f t="shared" ref="S163:S197" ca="1" si="28">DATEDIF(O163,$A$2,"YM")&amp;" bulan"</f>
        <v>8 bulan</v>
      </c>
      <c r="T163" s="35" t="str">
        <f t="shared" ref="T163:T197" ca="1" si="29">DATEDIF(O163,$A$2,"MD")&amp;" hari"</f>
        <v>7 hari</v>
      </c>
      <c r="U163" s="36" t="str">
        <f ca="1">DATEDIF(G163,$A$2,"Y")&amp;" tahun, "&amp;DATEDIF(G163,$A$2,"Ym")&amp;" bulan"</f>
        <v>10 tahun, 5 bulan</v>
      </c>
      <c r="V163" s="37">
        <f t="shared" si="25"/>
        <v>52932</v>
      </c>
    </row>
    <row r="164" spans="1:22" s="38" customFormat="1" ht="14.55" customHeight="1">
      <c r="A164" s="26">
        <v>161</v>
      </c>
      <c r="B164" s="27" t="s">
        <v>143</v>
      </c>
      <c r="C164" s="29" t="s">
        <v>144</v>
      </c>
      <c r="D164" s="28" t="s">
        <v>182</v>
      </c>
      <c r="E164" s="29" t="s">
        <v>413</v>
      </c>
      <c r="F164" s="29" t="s">
        <v>183</v>
      </c>
      <c r="G164" s="40">
        <v>40087</v>
      </c>
      <c r="H164" s="29" t="str">
        <f>VLOOKUP(I164,Sheet1!$A$4:$B$20,2,0)</f>
        <v>Pengatur (Gol. II/c)</v>
      </c>
      <c r="I164" s="28" t="s">
        <v>369</v>
      </c>
      <c r="J164" s="30">
        <v>45931</v>
      </c>
      <c r="K164" s="31" t="s">
        <v>938</v>
      </c>
      <c r="L164" s="32" t="str">
        <f t="shared" ca="1" si="26"/>
        <v>0 tahun, 9 bulan</v>
      </c>
      <c r="M164" s="30" t="s">
        <v>527</v>
      </c>
      <c r="N164" s="30" t="s">
        <v>1</v>
      </c>
      <c r="O164" s="30">
        <v>25885</v>
      </c>
      <c r="P164" s="28" t="s">
        <v>727</v>
      </c>
      <c r="Q164" s="28" t="s">
        <v>726</v>
      </c>
      <c r="R164" s="35" t="str">
        <f t="shared" ca="1" si="27"/>
        <v>55 tahun</v>
      </c>
      <c r="S164" s="35" t="str">
        <f t="shared" ca="1" si="28"/>
        <v>8 bulan</v>
      </c>
      <c r="T164" s="35" t="str">
        <f t="shared" ca="1" si="29"/>
        <v>16 hari</v>
      </c>
      <c r="U164" s="36" t="str">
        <f ca="1">DATEDIF(G164,$A$2,"Y")&amp;" tahun, "&amp;DATEDIF(G164,$A$2,"Ym")&amp;" bulan"</f>
        <v>16 tahun, 9 bulan</v>
      </c>
      <c r="V164" s="37">
        <f t="shared" si="25"/>
        <v>47088</v>
      </c>
    </row>
    <row r="165" spans="1:22" s="38" customFormat="1" ht="14.55" customHeight="1">
      <c r="A165" s="26">
        <v>162</v>
      </c>
      <c r="B165" s="27" t="s">
        <v>530</v>
      </c>
      <c r="C165" s="29" t="s">
        <v>894</v>
      </c>
      <c r="D165" s="28" t="s">
        <v>186</v>
      </c>
      <c r="E165" s="29" t="s">
        <v>947</v>
      </c>
      <c r="F165" s="29" t="s">
        <v>485</v>
      </c>
      <c r="G165" s="40">
        <v>45505</v>
      </c>
      <c r="H165" s="29" t="str">
        <f>VLOOKUP(I165,Sheet1!$A$4:$B$20,2,0)</f>
        <v>Pengatur (Gol. II/c)</v>
      </c>
      <c r="I165" s="28" t="s">
        <v>369</v>
      </c>
      <c r="J165" s="28" t="s">
        <v>882</v>
      </c>
      <c r="K165" s="31"/>
      <c r="L165" s="32" t="str">
        <f t="shared" ca="1" si="26"/>
        <v>1 tahun, 11 bulan</v>
      </c>
      <c r="M165" s="30" t="s">
        <v>528</v>
      </c>
      <c r="N165" s="30" t="s">
        <v>1</v>
      </c>
      <c r="O165" s="30">
        <v>35992</v>
      </c>
      <c r="P165" s="43" t="s">
        <v>930</v>
      </c>
      <c r="Q165" s="28"/>
      <c r="R165" s="35" t="str">
        <f t="shared" ca="1" si="27"/>
        <v>28 tahun</v>
      </c>
      <c r="S165" s="35" t="str">
        <f t="shared" ca="1" si="28"/>
        <v>0 bulan</v>
      </c>
      <c r="T165" s="35" t="str">
        <f t="shared" ca="1" si="29"/>
        <v>13 hari</v>
      </c>
      <c r="U165" s="36" t="str">
        <f ca="1">DATEDIF(G165,$A$2,"Y")&amp;" tahun, "&amp;DATEDIF(G165,$A$2,"Ym")&amp;" bulan"</f>
        <v>1 tahun, 11 bulan</v>
      </c>
      <c r="V165" s="37">
        <f t="shared" si="25"/>
        <v>57193</v>
      </c>
    </row>
    <row r="166" spans="1:22" s="38" customFormat="1" ht="14.55" customHeight="1">
      <c r="A166" s="26">
        <v>163</v>
      </c>
      <c r="B166" s="27" t="s">
        <v>145</v>
      </c>
      <c r="C166" s="29" t="s">
        <v>146</v>
      </c>
      <c r="D166" s="28" t="s">
        <v>182</v>
      </c>
      <c r="E166" s="29" t="s">
        <v>952</v>
      </c>
      <c r="F166" s="29" t="s">
        <v>183</v>
      </c>
      <c r="G166" s="40">
        <v>39083</v>
      </c>
      <c r="H166" s="29" t="str">
        <f>VLOOKUP(I166,Sheet1!$A$4:$B$20,2,0)</f>
        <v>Pengatur (Gol. II/c)</v>
      </c>
      <c r="I166" s="28" t="s">
        <v>369</v>
      </c>
      <c r="J166" s="30">
        <v>45383</v>
      </c>
      <c r="K166" s="31" t="s">
        <v>508</v>
      </c>
      <c r="L166" s="32" t="str">
        <f t="shared" ca="1" si="26"/>
        <v>2 tahun, 3 bulan</v>
      </c>
      <c r="M166" s="30" t="s">
        <v>527</v>
      </c>
      <c r="N166" s="30" t="s">
        <v>1</v>
      </c>
      <c r="O166" s="30">
        <v>27733</v>
      </c>
      <c r="P166" s="28" t="s">
        <v>729</v>
      </c>
      <c r="Q166" s="28" t="s">
        <v>728</v>
      </c>
      <c r="R166" s="35" t="str">
        <f t="shared" ca="1" si="27"/>
        <v>50 tahun</v>
      </c>
      <c r="S166" s="35" t="str">
        <f t="shared" ca="1" si="28"/>
        <v>7 bulan</v>
      </c>
      <c r="T166" s="35" t="str">
        <f t="shared" ca="1" si="29"/>
        <v>24 hari</v>
      </c>
      <c r="U166" s="36" t="str">
        <f ca="1">DATEDIF(G166,$A$2,"Y")&amp;" tahun, "&amp;DATEDIF(G166,$A$2,"Ym")&amp;" bulan"</f>
        <v>19 tahun, 6 bulan</v>
      </c>
      <c r="V166" s="37">
        <f t="shared" si="25"/>
        <v>48945</v>
      </c>
    </row>
    <row r="167" spans="1:22" s="38" customFormat="1" ht="14.55" customHeight="1">
      <c r="A167" s="26">
        <v>164</v>
      </c>
      <c r="B167" s="27" t="s">
        <v>147</v>
      </c>
      <c r="C167" s="29" t="s">
        <v>344</v>
      </c>
      <c r="D167" s="28" t="s">
        <v>182</v>
      </c>
      <c r="E167" s="29" t="s">
        <v>394</v>
      </c>
      <c r="F167" s="29" t="s">
        <v>183</v>
      </c>
      <c r="G167" s="40">
        <v>41883</v>
      </c>
      <c r="H167" s="29" t="str">
        <f>VLOOKUP(I167,Sheet1!$A$4:$B$20,2,0)</f>
        <v>Penata Muda Tk.I (Gol. III/b)</v>
      </c>
      <c r="I167" s="28" t="s">
        <v>373</v>
      </c>
      <c r="J167" s="30">
        <v>45383</v>
      </c>
      <c r="K167" s="31" t="s">
        <v>509</v>
      </c>
      <c r="L167" s="32" t="str">
        <f t="shared" ca="1" si="26"/>
        <v>2 tahun, 3 bulan</v>
      </c>
      <c r="M167" s="30" t="s">
        <v>527</v>
      </c>
      <c r="N167" s="30" t="s">
        <v>1</v>
      </c>
      <c r="O167" s="30">
        <v>29467</v>
      </c>
      <c r="P167" s="28" t="s">
        <v>731</v>
      </c>
      <c r="Q167" s="28" t="s">
        <v>730</v>
      </c>
      <c r="R167" s="35" t="str">
        <f t="shared" ca="1" si="27"/>
        <v>45 tahun</v>
      </c>
      <c r="S167" s="35" t="str">
        <f t="shared" ca="1" si="28"/>
        <v>10 bulan</v>
      </c>
      <c r="T167" s="35" t="str">
        <f t="shared" ca="1" si="29"/>
        <v>26 hari</v>
      </c>
      <c r="U167" s="36" t="str">
        <f ca="1">DATEDIF(G167,$A$2,"Y")&amp;" tahun, "&amp;DATEDIF(G167,$A$2,"Ym")&amp;" bulan"</f>
        <v>11 tahun, 10 bulan</v>
      </c>
      <c r="V167" s="37">
        <f t="shared" si="25"/>
        <v>50679</v>
      </c>
    </row>
    <row r="168" spans="1:22" s="38" customFormat="1" ht="14.55" customHeight="1">
      <c r="A168" s="26">
        <v>165</v>
      </c>
      <c r="B168" s="27" t="s">
        <v>148</v>
      </c>
      <c r="C168" s="29" t="s">
        <v>149</v>
      </c>
      <c r="D168" s="28" t="s">
        <v>182</v>
      </c>
      <c r="E168" s="29" t="s">
        <v>402</v>
      </c>
      <c r="F168" s="29" t="s">
        <v>183</v>
      </c>
      <c r="G168" s="40">
        <v>37226</v>
      </c>
      <c r="H168" s="29" t="str">
        <f>VLOOKUP(I168,Sheet1!$A$4:$B$20,2,0)</f>
        <v>Penata Muda Tk.I (Gol. III/b)</v>
      </c>
      <c r="I168" s="28" t="s">
        <v>373</v>
      </c>
      <c r="J168" s="30">
        <v>44835</v>
      </c>
      <c r="K168" s="31"/>
      <c r="L168" s="32" t="str">
        <f t="shared" ca="1" si="26"/>
        <v>3 tahun, 9 bulan</v>
      </c>
      <c r="M168" s="30" t="s">
        <v>527</v>
      </c>
      <c r="N168" s="30" t="s">
        <v>1</v>
      </c>
      <c r="O168" s="30">
        <v>29958</v>
      </c>
      <c r="P168" s="28" t="s">
        <v>733</v>
      </c>
      <c r="Q168" s="28" t="s">
        <v>732</v>
      </c>
      <c r="R168" s="35" t="str">
        <f t="shared" ca="1" si="27"/>
        <v>44 tahun</v>
      </c>
      <c r="S168" s="35" t="str">
        <f t="shared" ca="1" si="28"/>
        <v>6 bulan</v>
      </c>
      <c r="T168" s="35" t="str">
        <f t="shared" ca="1" si="29"/>
        <v>22 hari</v>
      </c>
      <c r="U168" s="36" t="str">
        <f ca="1">DATEDIF(G168,$A$2,"Y")&amp;" tahun, "&amp;DATEDIF(G168,$A$2,"Ym")&amp;" bulan"</f>
        <v>24 tahun, 7 bulan</v>
      </c>
      <c r="V168" s="37">
        <f t="shared" si="25"/>
        <v>51167</v>
      </c>
    </row>
    <row r="169" spans="1:22" s="38" customFormat="1" ht="14.55" customHeight="1">
      <c r="A169" s="26">
        <v>166</v>
      </c>
      <c r="B169" s="27" t="s">
        <v>150</v>
      </c>
      <c r="C169" s="29" t="s">
        <v>203</v>
      </c>
      <c r="D169" s="28" t="s">
        <v>182</v>
      </c>
      <c r="E169" s="29" t="s">
        <v>401</v>
      </c>
      <c r="F169" s="29" t="s">
        <v>183</v>
      </c>
      <c r="G169" s="40">
        <v>41883</v>
      </c>
      <c r="H169" s="29" t="str">
        <f>VLOOKUP(I169,Sheet1!$A$4:$B$20,2,0)</f>
        <v>Pengatur Tk. I (Gol. II/d)</v>
      </c>
      <c r="I169" s="28" t="s">
        <v>370</v>
      </c>
      <c r="J169" s="30">
        <v>45748</v>
      </c>
      <c r="K169" s="31" t="s">
        <v>904</v>
      </c>
      <c r="L169" s="32" t="str">
        <f t="shared" ca="1" si="26"/>
        <v>1 tahun, 3 bulan</v>
      </c>
      <c r="M169" s="30" t="s">
        <v>527</v>
      </c>
      <c r="N169" s="30" t="s">
        <v>1</v>
      </c>
      <c r="O169" s="30">
        <v>30559</v>
      </c>
      <c r="P169" s="28" t="s">
        <v>735</v>
      </c>
      <c r="Q169" s="28" t="s">
        <v>734</v>
      </c>
      <c r="R169" s="35" t="str">
        <f t="shared" ca="1" si="27"/>
        <v>42 tahun</v>
      </c>
      <c r="S169" s="35" t="str">
        <f t="shared" ca="1" si="28"/>
        <v>10 bulan</v>
      </c>
      <c r="T169" s="35" t="str">
        <f t="shared" ca="1" si="29"/>
        <v>28 hari</v>
      </c>
      <c r="U169" s="36" t="str">
        <f ca="1">DATEDIF(G169,$A$2,"Y")&amp;" tahun, "&amp;DATEDIF(G169,$A$2,"Ym")&amp;" bulan"</f>
        <v>11 tahun, 10 bulan</v>
      </c>
      <c r="V169" s="37">
        <f t="shared" si="25"/>
        <v>51745</v>
      </c>
    </row>
    <row r="170" spans="1:22" s="38" customFormat="1" ht="14.55" customHeight="1">
      <c r="A170" s="26">
        <v>167</v>
      </c>
      <c r="B170" s="44" t="s">
        <v>974</v>
      </c>
      <c r="C170" s="29" t="s">
        <v>973</v>
      </c>
      <c r="D170" s="28" t="s">
        <v>186</v>
      </c>
      <c r="E170" s="29" t="s">
        <v>975</v>
      </c>
      <c r="F170" s="29" t="s">
        <v>183</v>
      </c>
      <c r="G170" s="40">
        <v>42401</v>
      </c>
      <c r="H170" s="29" t="str">
        <f>VLOOKUP(I170,Sheet1!$A$4:$B$20,2,0)</f>
        <v>Penata Muda Tk.I (Gol. III/b)</v>
      </c>
      <c r="I170" s="28" t="s">
        <v>373</v>
      </c>
      <c r="J170" s="30">
        <v>44835</v>
      </c>
      <c r="K170" s="31" t="s">
        <v>978</v>
      </c>
      <c r="L170" s="32" t="str">
        <f t="shared" ca="1" si="26"/>
        <v>3 tahun, 9 bulan</v>
      </c>
      <c r="M170" s="30" t="s">
        <v>527</v>
      </c>
      <c r="N170" s="30" t="s">
        <v>1</v>
      </c>
      <c r="O170" s="30">
        <v>31367</v>
      </c>
      <c r="P170" s="28" t="s">
        <v>977</v>
      </c>
      <c r="Q170" s="28" t="s">
        <v>976</v>
      </c>
      <c r="R170" s="35" t="str">
        <f t="shared" ca="1" si="27"/>
        <v>40 tahun</v>
      </c>
      <c r="S170" s="35" t="str">
        <f t="shared" ca="1" si="28"/>
        <v>8 bulan</v>
      </c>
      <c r="T170" s="35" t="str">
        <f t="shared" ca="1" si="29"/>
        <v>13 hari</v>
      </c>
      <c r="U170" s="36" t="str">
        <f ca="1">DATEDIF(G170,$A$2,"Y")&amp;" tahun, "&amp;DATEDIF(G170,$A$2,"Ym")&amp;" bulan"</f>
        <v>10 tahun, 5 bulan</v>
      </c>
      <c r="V170" s="37">
        <f t="shared" si="25"/>
        <v>52566</v>
      </c>
    </row>
    <row r="171" spans="1:22" s="38" customFormat="1" ht="14.55" customHeight="1">
      <c r="A171" s="26">
        <v>168</v>
      </c>
      <c r="B171" s="27" t="s">
        <v>364</v>
      </c>
      <c r="C171" s="29" t="s">
        <v>363</v>
      </c>
      <c r="D171" s="28" t="s">
        <v>182</v>
      </c>
      <c r="E171" s="29" t="s">
        <v>949</v>
      </c>
      <c r="F171" s="29" t="s">
        <v>481</v>
      </c>
      <c r="G171" s="40">
        <v>40513</v>
      </c>
      <c r="H171" s="29" t="str">
        <f>VLOOKUP(I171,Sheet1!$A$4:$B$20,2,0)</f>
        <v>Penata (Gol. III/c)</v>
      </c>
      <c r="I171" s="28" t="s">
        <v>374</v>
      </c>
      <c r="J171" s="30">
        <v>45017</v>
      </c>
      <c r="K171" s="31"/>
      <c r="L171" s="32" t="str">
        <f t="shared" ca="1" si="26"/>
        <v>3 tahun, 3 bulan</v>
      </c>
      <c r="M171" s="30" t="s">
        <v>528</v>
      </c>
      <c r="N171" s="30" t="s">
        <v>1</v>
      </c>
      <c r="O171" s="30">
        <v>32308</v>
      </c>
      <c r="P171" s="28" t="s">
        <v>737</v>
      </c>
      <c r="Q171" s="28" t="s">
        <v>736</v>
      </c>
      <c r="R171" s="35" t="str">
        <f t="shared" ca="1" si="27"/>
        <v>38 tahun</v>
      </c>
      <c r="S171" s="35" t="str">
        <f t="shared" ca="1" si="28"/>
        <v>1 bulan</v>
      </c>
      <c r="T171" s="35" t="str">
        <f t="shared" ca="1" si="29"/>
        <v>15 hari</v>
      </c>
      <c r="U171" s="36" t="str">
        <f ca="1">DATEDIF(G171,$A$2,"Y")&amp;" tahun, "&amp;DATEDIF(G171,$A$2,"Ym")&amp;" bulan"</f>
        <v>15 tahun, 7 bulan</v>
      </c>
      <c r="V171" s="37">
        <f t="shared" si="25"/>
        <v>53509</v>
      </c>
    </row>
    <row r="172" spans="1:22" s="38" customFormat="1" ht="14.55" customHeight="1">
      <c r="A172" s="26">
        <v>169</v>
      </c>
      <c r="B172" s="27" t="s">
        <v>199</v>
      </c>
      <c r="C172" s="29" t="s">
        <v>200</v>
      </c>
      <c r="D172" s="28" t="s">
        <v>186</v>
      </c>
      <c r="E172" s="29" t="s">
        <v>405</v>
      </c>
      <c r="F172" s="29" t="s">
        <v>187</v>
      </c>
      <c r="G172" s="40">
        <v>42401</v>
      </c>
      <c r="H172" s="29" t="str">
        <f>VLOOKUP(I172,Sheet1!$A$4:$B$20,2,0)</f>
        <v>Penata Muda Tk.I (Gol. III/b)</v>
      </c>
      <c r="I172" s="28" t="s">
        <v>373</v>
      </c>
      <c r="J172" s="30">
        <v>45566</v>
      </c>
      <c r="K172" s="31" t="s">
        <v>512</v>
      </c>
      <c r="L172" s="32" t="str">
        <f t="shared" ca="1" si="26"/>
        <v>1 tahun, 9 bulan</v>
      </c>
      <c r="M172" s="30" t="s">
        <v>528</v>
      </c>
      <c r="N172" s="30" t="s">
        <v>1</v>
      </c>
      <c r="O172" s="30">
        <v>28800</v>
      </c>
      <c r="P172" s="28" t="s">
        <v>863</v>
      </c>
      <c r="Q172" s="28" t="s">
        <v>862</v>
      </c>
      <c r="R172" s="35" t="str">
        <f t="shared" ca="1" si="27"/>
        <v>47 tahun</v>
      </c>
      <c r="S172" s="35" t="str">
        <f t="shared" ca="1" si="28"/>
        <v>8 bulan</v>
      </c>
      <c r="T172" s="35" t="str">
        <f t="shared" ca="1" si="29"/>
        <v>23 hari</v>
      </c>
      <c r="U172" s="36" t="str">
        <f ca="1">DATEDIF(G172,$A$2,"Y")&amp;" tahun, "&amp;DATEDIF(G172,$A$2,"Ym")&amp;" bulan"</f>
        <v>10 tahun, 5 bulan</v>
      </c>
      <c r="V172" s="37">
        <f t="shared" si="25"/>
        <v>50010</v>
      </c>
    </row>
    <row r="173" spans="1:22" s="38" customFormat="1" ht="14.55" customHeight="1">
      <c r="A173" s="26">
        <v>170</v>
      </c>
      <c r="B173" s="27" t="s">
        <v>151</v>
      </c>
      <c r="C173" s="29" t="s">
        <v>279</v>
      </c>
      <c r="D173" s="28" t="s">
        <v>182</v>
      </c>
      <c r="E173" s="29" t="s">
        <v>948</v>
      </c>
      <c r="F173" s="29" t="s">
        <v>481</v>
      </c>
      <c r="G173" s="40">
        <v>41883</v>
      </c>
      <c r="H173" s="29" t="str">
        <f>VLOOKUP(I173,Sheet1!$A$4:$B$20,2,0)</f>
        <v>Penata Muda Tk.I (Gol. III/b)</v>
      </c>
      <c r="I173" s="28" t="s">
        <v>373</v>
      </c>
      <c r="J173" s="30">
        <v>44835</v>
      </c>
      <c r="K173" s="31"/>
      <c r="L173" s="32" t="str">
        <f t="shared" ca="1" si="26"/>
        <v>3 tahun, 9 bulan</v>
      </c>
      <c r="M173" s="30" t="s">
        <v>528</v>
      </c>
      <c r="N173" s="30" t="s">
        <v>1</v>
      </c>
      <c r="O173" s="30">
        <v>28683</v>
      </c>
      <c r="P173" s="43" t="s">
        <v>929</v>
      </c>
      <c r="Q173" s="28" t="s">
        <v>738</v>
      </c>
      <c r="R173" s="35" t="str">
        <f t="shared" ca="1" si="27"/>
        <v>48 tahun</v>
      </c>
      <c r="S173" s="35" t="str">
        <f t="shared" ca="1" si="28"/>
        <v>0 bulan</v>
      </c>
      <c r="T173" s="35" t="str">
        <f t="shared" ca="1" si="29"/>
        <v>17 hari</v>
      </c>
      <c r="U173" s="36" t="str">
        <f ca="1">DATEDIF(G173,$A$2,"Y")&amp;" tahun, "&amp;DATEDIF(G173,$A$2,"Ym")&amp;" bulan"</f>
        <v>11 tahun, 10 bulan</v>
      </c>
      <c r="V173" s="37">
        <f t="shared" si="25"/>
        <v>49888</v>
      </c>
    </row>
    <row r="174" spans="1:22" s="38" customFormat="1" ht="14.55" customHeight="1">
      <c r="A174" s="26">
        <v>171</v>
      </c>
      <c r="B174" s="27" t="s">
        <v>193</v>
      </c>
      <c r="C174" s="29" t="s">
        <v>194</v>
      </c>
      <c r="D174" s="28" t="s">
        <v>186</v>
      </c>
      <c r="E174" s="29" t="s">
        <v>948</v>
      </c>
      <c r="F174" s="29" t="s">
        <v>485</v>
      </c>
      <c r="G174" s="40">
        <v>42401</v>
      </c>
      <c r="H174" s="29" t="str">
        <f>VLOOKUP(I174,Sheet1!$A$4:$B$20,2,0)</f>
        <v>Penata Muda Tk.I (Gol. III/b)</v>
      </c>
      <c r="I174" s="28" t="s">
        <v>373</v>
      </c>
      <c r="J174" s="30">
        <v>46113</v>
      </c>
      <c r="K174" s="31" t="s">
        <v>986</v>
      </c>
      <c r="L174" s="32" t="str">
        <f t="shared" ca="1" si="26"/>
        <v>0 tahun, 3 bulan</v>
      </c>
      <c r="M174" s="30" t="s">
        <v>528</v>
      </c>
      <c r="N174" s="30" t="s">
        <v>1</v>
      </c>
      <c r="O174" s="30">
        <v>31915</v>
      </c>
      <c r="P174" s="28" t="s">
        <v>865</v>
      </c>
      <c r="Q174" s="28" t="s">
        <v>864</v>
      </c>
      <c r="R174" s="35" t="str">
        <f t="shared" ca="1" si="27"/>
        <v>39 tahun</v>
      </c>
      <c r="S174" s="35" t="str">
        <f t="shared" ca="1" si="28"/>
        <v>2 bulan</v>
      </c>
      <c r="T174" s="35" t="str">
        <f t="shared" ca="1" si="29"/>
        <v>11 hari</v>
      </c>
      <c r="U174" s="36" t="str">
        <f ca="1">DATEDIF(G174,$A$2,"Y")&amp;" tahun, "&amp;DATEDIF(G174,$A$2,"Ym")&amp;" bulan"</f>
        <v>10 tahun, 5 bulan</v>
      </c>
      <c r="V174" s="37">
        <f t="shared" si="25"/>
        <v>53114</v>
      </c>
    </row>
    <row r="175" spans="1:22" s="38" customFormat="1" ht="14.55" customHeight="1">
      <c r="A175" s="26">
        <v>172</v>
      </c>
      <c r="B175" s="27" t="s">
        <v>152</v>
      </c>
      <c r="C175" s="29" t="s">
        <v>153</v>
      </c>
      <c r="D175" s="28" t="s">
        <v>182</v>
      </c>
      <c r="E175" s="29" t="s">
        <v>394</v>
      </c>
      <c r="F175" s="29" t="s">
        <v>183</v>
      </c>
      <c r="G175" s="40">
        <v>41883</v>
      </c>
      <c r="H175" s="29" t="str">
        <f>VLOOKUP(I175,Sheet1!$A$4:$B$20,2,0)</f>
        <v>Pengatur (Gol. II/c)</v>
      </c>
      <c r="I175" s="28" t="s">
        <v>369</v>
      </c>
      <c r="J175" s="30">
        <v>44835</v>
      </c>
      <c r="K175" s="31"/>
      <c r="L175" s="32" t="str">
        <f t="shared" ca="1" si="26"/>
        <v>3 tahun, 9 bulan</v>
      </c>
      <c r="M175" s="30" t="s">
        <v>527</v>
      </c>
      <c r="N175" s="30" t="s">
        <v>434</v>
      </c>
      <c r="O175" s="30">
        <v>29868</v>
      </c>
      <c r="P175" s="28" t="s">
        <v>740</v>
      </c>
      <c r="Q175" s="28" t="s">
        <v>739</v>
      </c>
      <c r="R175" s="35" t="str">
        <f t="shared" ca="1" si="27"/>
        <v>44 tahun</v>
      </c>
      <c r="S175" s="35" t="str">
        <f t="shared" ca="1" si="28"/>
        <v>9 bulan</v>
      </c>
      <c r="T175" s="35" t="str">
        <f t="shared" ca="1" si="29"/>
        <v>20 hari</v>
      </c>
      <c r="U175" s="36" t="str">
        <f ca="1">DATEDIF(G175,$A$2,"Y")&amp;" tahun, "&amp;DATEDIF(G175,$A$2,"Ym")&amp;" bulan"</f>
        <v>11 tahun, 10 bulan</v>
      </c>
      <c r="V175" s="37">
        <f t="shared" si="25"/>
        <v>51075</v>
      </c>
    </row>
    <row r="176" spans="1:22" s="38" customFormat="1" ht="14.55" customHeight="1">
      <c r="A176" s="26">
        <v>173</v>
      </c>
      <c r="B176" s="27" t="s">
        <v>154</v>
      </c>
      <c r="C176" s="29" t="s">
        <v>155</v>
      </c>
      <c r="D176" s="28" t="s">
        <v>182</v>
      </c>
      <c r="E176" s="29" t="s">
        <v>394</v>
      </c>
      <c r="F176" s="29" t="s">
        <v>183</v>
      </c>
      <c r="G176" s="40">
        <v>39083</v>
      </c>
      <c r="H176" s="29" t="str">
        <f>VLOOKUP(I176,Sheet1!$A$4:$B$20,2,0)</f>
        <v>Pengatur Tk. I (Gol. II/d)</v>
      </c>
      <c r="I176" s="28" t="s">
        <v>370</v>
      </c>
      <c r="J176" s="30">
        <v>46174</v>
      </c>
      <c r="K176" s="31" t="s">
        <v>994</v>
      </c>
      <c r="L176" s="32" t="str">
        <f t="shared" ca="1" si="26"/>
        <v>0 tahun, 1 bulan</v>
      </c>
      <c r="M176" s="30" t="s">
        <v>527</v>
      </c>
      <c r="N176" s="30" t="s">
        <v>446</v>
      </c>
      <c r="O176" s="30">
        <v>29419</v>
      </c>
      <c r="P176" s="43" t="s">
        <v>742</v>
      </c>
      <c r="Q176" s="28" t="s">
        <v>741</v>
      </c>
      <c r="R176" s="35" t="str">
        <f t="shared" ca="1" si="27"/>
        <v>46 tahun</v>
      </c>
      <c r="S176" s="35" t="str">
        <f t="shared" ca="1" si="28"/>
        <v>0 bulan</v>
      </c>
      <c r="T176" s="35" t="str">
        <f t="shared" ca="1" si="29"/>
        <v>12 hari</v>
      </c>
      <c r="U176" s="36" t="str">
        <f ca="1">DATEDIF(G176,$A$2,"Y")&amp;" tahun, "&amp;DATEDIF(G176,$A$2,"Ym")&amp;" bulan"</f>
        <v>19 tahun, 6 bulan</v>
      </c>
      <c r="V176" s="37">
        <f t="shared" si="25"/>
        <v>50618</v>
      </c>
    </row>
    <row r="177" spans="1:22" s="38" customFormat="1" ht="14.55" customHeight="1">
      <c r="A177" s="26">
        <v>174</v>
      </c>
      <c r="B177" s="27" t="s">
        <v>301</v>
      </c>
      <c r="C177" s="29" t="s">
        <v>302</v>
      </c>
      <c r="D177" s="28" t="s">
        <v>186</v>
      </c>
      <c r="E177" s="29" t="s">
        <v>398</v>
      </c>
      <c r="F177" s="29" t="s">
        <v>187</v>
      </c>
      <c r="G177" s="40">
        <v>42401</v>
      </c>
      <c r="H177" s="29" t="str">
        <f>VLOOKUP(I177,Sheet1!$A$4:$B$20,2,0)</f>
        <v>Pengatur (Gol. II/c)</v>
      </c>
      <c r="I177" s="33" t="s">
        <v>369</v>
      </c>
      <c r="J177" s="30">
        <v>45748</v>
      </c>
      <c r="K177" s="31" t="s">
        <v>500</v>
      </c>
      <c r="L177" s="32" t="str">
        <f t="shared" ca="1" si="26"/>
        <v>1 tahun, 3 bulan</v>
      </c>
      <c r="M177" s="30" t="s">
        <v>527</v>
      </c>
      <c r="N177" s="30" t="s">
        <v>439</v>
      </c>
      <c r="O177" s="30">
        <v>29987</v>
      </c>
      <c r="P177" s="43" t="s">
        <v>867</v>
      </c>
      <c r="Q177" s="28" t="s">
        <v>866</v>
      </c>
      <c r="R177" s="35" t="str">
        <f t="shared" ca="1" si="27"/>
        <v>44 tahun</v>
      </c>
      <c r="S177" s="35" t="str">
        <f t="shared" ca="1" si="28"/>
        <v>5 bulan</v>
      </c>
      <c r="T177" s="35" t="str">
        <f t="shared" ca="1" si="29"/>
        <v>24 hari</v>
      </c>
      <c r="U177" s="36" t="str">
        <f ca="1">DATEDIF(G177,$A$2,"Y")&amp;" tahun, "&amp;DATEDIF(G177,$A$2,"Ym")&amp;" bulan"</f>
        <v>10 tahun, 5 bulan</v>
      </c>
      <c r="V177" s="37">
        <f t="shared" si="25"/>
        <v>51196</v>
      </c>
    </row>
    <row r="178" spans="1:22" s="38" customFormat="1" ht="14.55" customHeight="1">
      <c r="A178" s="26">
        <v>175</v>
      </c>
      <c r="B178" s="27" t="s">
        <v>247</v>
      </c>
      <c r="C178" s="29" t="s">
        <v>248</v>
      </c>
      <c r="D178" s="28" t="s">
        <v>186</v>
      </c>
      <c r="E178" s="29" t="s">
        <v>398</v>
      </c>
      <c r="F178" s="29" t="s">
        <v>187</v>
      </c>
      <c r="G178" s="40">
        <v>42401</v>
      </c>
      <c r="H178" s="29" t="str">
        <f>VLOOKUP(I178,Sheet1!$A$4:$B$20,2,0)</f>
        <v>Pengatur (Gol. II/c)</v>
      </c>
      <c r="I178" s="33" t="s">
        <v>369</v>
      </c>
      <c r="J178" s="30">
        <v>45748</v>
      </c>
      <c r="K178" s="31" t="s">
        <v>914</v>
      </c>
      <c r="L178" s="32" t="str">
        <f t="shared" ca="1" si="26"/>
        <v>1 tahun, 3 bulan</v>
      </c>
      <c r="M178" s="30" t="s">
        <v>527</v>
      </c>
      <c r="N178" s="30" t="s">
        <v>1</v>
      </c>
      <c r="O178" s="30">
        <v>29356</v>
      </c>
      <c r="P178" s="28" t="s">
        <v>869</v>
      </c>
      <c r="Q178" s="28" t="s">
        <v>868</v>
      </c>
      <c r="R178" s="35" t="str">
        <f t="shared" ca="1" si="27"/>
        <v>46 tahun</v>
      </c>
      <c r="S178" s="35" t="str">
        <f t="shared" ca="1" si="28"/>
        <v>2 bulan</v>
      </c>
      <c r="T178" s="35" t="str">
        <f t="shared" ca="1" si="29"/>
        <v>14 hari</v>
      </c>
      <c r="U178" s="36" t="str">
        <f ca="1">DATEDIF(G178,$A$2,"Y")&amp;" tahun, "&amp;DATEDIF(G178,$A$2,"Ym")&amp;" bulan"</f>
        <v>10 tahun, 5 bulan</v>
      </c>
      <c r="V178" s="37">
        <f t="shared" si="25"/>
        <v>50557</v>
      </c>
    </row>
    <row r="179" spans="1:22" s="38" customFormat="1" ht="14.55" customHeight="1">
      <c r="A179" s="26">
        <v>176</v>
      </c>
      <c r="B179" s="27" t="s">
        <v>303</v>
      </c>
      <c r="C179" s="29" t="s">
        <v>304</v>
      </c>
      <c r="D179" s="28" t="s">
        <v>186</v>
      </c>
      <c r="E179" s="29" t="s">
        <v>395</v>
      </c>
      <c r="F179" s="29" t="s">
        <v>187</v>
      </c>
      <c r="G179" s="40">
        <v>42401</v>
      </c>
      <c r="H179" s="29" t="str">
        <f>VLOOKUP(I179,Sheet1!$A$4:$B$20,2,0)</f>
        <v>Pengatur (Gol. II/c)</v>
      </c>
      <c r="I179" s="33" t="s">
        <v>369</v>
      </c>
      <c r="J179" s="30">
        <v>45748</v>
      </c>
      <c r="K179" s="31" t="s">
        <v>915</v>
      </c>
      <c r="L179" s="32" t="str">
        <f t="shared" ca="1" si="26"/>
        <v>1 tahun, 3 bulan</v>
      </c>
      <c r="M179" s="30" t="s">
        <v>527</v>
      </c>
      <c r="N179" s="30" t="s">
        <v>426</v>
      </c>
      <c r="O179" s="30">
        <v>30123</v>
      </c>
      <c r="P179" s="28" t="s">
        <v>871</v>
      </c>
      <c r="Q179" s="28" t="s">
        <v>870</v>
      </c>
      <c r="R179" s="35" t="str">
        <f t="shared" ca="1" si="27"/>
        <v>44 tahun</v>
      </c>
      <c r="S179" s="35" t="str">
        <f t="shared" ca="1" si="28"/>
        <v>1 bulan</v>
      </c>
      <c r="T179" s="35" t="str">
        <f t="shared" ca="1" si="29"/>
        <v>8 hari</v>
      </c>
      <c r="U179" s="36" t="str">
        <f ca="1">DATEDIF(G179,$A$2,"Y")&amp;" tahun, "&amp;DATEDIF(G179,$A$2,"Ym")&amp;" bulan"</f>
        <v>10 tahun, 5 bulan</v>
      </c>
      <c r="V179" s="37">
        <f t="shared" si="25"/>
        <v>51318</v>
      </c>
    </row>
    <row r="180" spans="1:22" s="38" customFormat="1" ht="14.55" customHeight="1">
      <c r="A180" s="26">
        <v>177</v>
      </c>
      <c r="B180" s="27" t="s">
        <v>156</v>
      </c>
      <c r="C180" s="29" t="s">
        <v>235</v>
      </c>
      <c r="D180" s="28" t="s">
        <v>182</v>
      </c>
      <c r="E180" s="29" t="s">
        <v>414</v>
      </c>
      <c r="F180" s="29" t="s">
        <v>183</v>
      </c>
      <c r="G180" s="40">
        <v>40087</v>
      </c>
      <c r="H180" s="29" t="str">
        <f>VLOOKUP(I180,Sheet1!$A$4:$B$20,2,0)</f>
        <v>Penata (Gol. III/c)</v>
      </c>
      <c r="I180" s="28" t="s">
        <v>374</v>
      </c>
      <c r="J180" s="30">
        <v>45383</v>
      </c>
      <c r="K180" s="31" t="s">
        <v>489</v>
      </c>
      <c r="L180" s="32" t="str">
        <f t="shared" ca="1" si="26"/>
        <v>2 tahun, 3 bulan</v>
      </c>
      <c r="M180" s="30" t="s">
        <v>527</v>
      </c>
      <c r="N180" s="30" t="s">
        <v>1</v>
      </c>
      <c r="O180" s="30">
        <v>28631</v>
      </c>
      <c r="P180" s="28" t="s">
        <v>744</v>
      </c>
      <c r="Q180" s="28" t="s">
        <v>743</v>
      </c>
      <c r="R180" s="35" t="str">
        <f t="shared" ca="1" si="27"/>
        <v>48 tahun</v>
      </c>
      <c r="S180" s="35" t="str">
        <f t="shared" ca="1" si="28"/>
        <v>2 bulan</v>
      </c>
      <c r="T180" s="35" t="str">
        <f t="shared" ca="1" si="29"/>
        <v>8 hari</v>
      </c>
      <c r="U180" s="36" t="str">
        <f ca="1">DATEDIF(G180,$A$2,"Y")&amp;" tahun, "&amp;DATEDIF(G180,$A$2,"Ym")&amp;" bulan"</f>
        <v>16 tahun, 9 bulan</v>
      </c>
      <c r="V180" s="37">
        <f t="shared" si="25"/>
        <v>49827</v>
      </c>
    </row>
    <row r="181" spans="1:22" s="38" customFormat="1" ht="14.55" customHeight="1">
      <c r="A181" s="26">
        <v>178</v>
      </c>
      <c r="B181" s="27" t="s">
        <v>352</v>
      </c>
      <c r="C181" s="29" t="s">
        <v>353</v>
      </c>
      <c r="D181" s="28" t="s">
        <v>186</v>
      </c>
      <c r="E181" s="29" t="s">
        <v>401</v>
      </c>
      <c r="F181" s="29" t="s">
        <v>187</v>
      </c>
      <c r="G181" s="40">
        <v>42401</v>
      </c>
      <c r="H181" s="29" t="str">
        <f>VLOOKUP(I181,Sheet1!$A$4:$B$20,2,0)</f>
        <v>Pengatur (Gol. II/c)</v>
      </c>
      <c r="I181" s="33" t="s">
        <v>369</v>
      </c>
      <c r="J181" s="30">
        <v>45748</v>
      </c>
      <c r="K181" s="31" t="s">
        <v>499</v>
      </c>
      <c r="L181" s="32" t="str">
        <f t="shared" ca="1" si="26"/>
        <v>1 tahun, 3 bulan</v>
      </c>
      <c r="M181" s="30" t="s">
        <v>528</v>
      </c>
      <c r="N181" s="30" t="s">
        <v>451</v>
      </c>
      <c r="O181" s="30">
        <v>28475</v>
      </c>
      <c r="P181" s="28" t="s">
        <v>873</v>
      </c>
      <c r="Q181" s="28" t="s">
        <v>872</v>
      </c>
      <c r="R181" s="35" t="str">
        <f t="shared" ca="1" si="27"/>
        <v>48 tahun</v>
      </c>
      <c r="S181" s="35" t="str">
        <f t="shared" ca="1" si="28"/>
        <v>7 bulan</v>
      </c>
      <c r="T181" s="35" t="str">
        <f t="shared" ca="1" si="29"/>
        <v>13 hari</v>
      </c>
      <c r="U181" s="36" t="str">
        <f ca="1">DATEDIF(G181,$A$2,"Y")&amp;" tahun, "&amp;DATEDIF(G181,$A$2,"Ym")&amp;" bulan"</f>
        <v>10 tahun, 5 bulan</v>
      </c>
      <c r="V181" s="37">
        <f t="shared" si="25"/>
        <v>49675</v>
      </c>
    </row>
    <row r="182" spans="1:22" s="38" customFormat="1" ht="14.55" customHeight="1">
      <c r="A182" s="26">
        <v>179</v>
      </c>
      <c r="B182" s="27" t="s">
        <v>258</v>
      </c>
      <c r="C182" s="29" t="s">
        <v>259</v>
      </c>
      <c r="D182" s="28" t="s">
        <v>186</v>
      </c>
      <c r="E182" s="29" t="s">
        <v>398</v>
      </c>
      <c r="F182" s="29" t="s">
        <v>187</v>
      </c>
      <c r="G182" s="40">
        <v>42401</v>
      </c>
      <c r="H182" s="29" t="str">
        <f>VLOOKUP(I182,Sheet1!$A$4:$B$20,2,0)</f>
        <v>Pengatur (Gol. II/c)</v>
      </c>
      <c r="I182" s="33" t="s">
        <v>369</v>
      </c>
      <c r="J182" s="30">
        <v>45748</v>
      </c>
      <c r="K182" s="31" t="s">
        <v>499</v>
      </c>
      <c r="L182" s="32" t="str">
        <f t="shared" ca="1" si="26"/>
        <v>1 tahun, 3 bulan</v>
      </c>
      <c r="M182" s="30" t="s">
        <v>527</v>
      </c>
      <c r="N182" s="30" t="s">
        <v>1</v>
      </c>
      <c r="O182" s="30">
        <v>29049</v>
      </c>
      <c r="P182" s="28" t="s">
        <v>875</v>
      </c>
      <c r="Q182" s="28" t="s">
        <v>874</v>
      </c>
      <c r="R182" s="35" t="str">
        <f t="shared" ca="1" si="27"/>
        <v>47 tahun</v>
      </c>
      <c r="S182" s="35" t="str">
        <f t="shared" ca="1" si="28"/>
        <v>0 bulan</v>
      </c>
      <c r="T182" s="35" t="str">
        <f t="shared" ca="1" si="29"/>
        <v>16 hari</v>
      </c>
      <c r="U182" s="36" t="str">
        <f ca="1">DATEDIF(G182,$A$2,"Y")&amp;" tahun, "&amp;DATEDIF(G182,$A$2,"Ym")&amp;" bulan"</f>
        <v>10 tahun, 5 bulan</v>
      </c>
      <c r="V182" s="37">
        <f t="shared" si="25"/>
        <v>50253</v>
      </c>
    </row>
    <row r="183" spans="1:22" s="38" customFormat="1" ht="14.55" customHeight="1">
      <c r="A183" s="26">
        <v>180</v>
      </c>
      <c r="B183" s="27" t="s">
        <v>157</v>
      </c>
      <c r="C183" s="29" t="s">
        <v>347</v>
      </c>
      <c r="D183" s="28" t="s">
        <v>182</v>
      </c>
      <c r="E183" s="29" t="s">
        <v>410</v>
      </c>
      <c r="F183" s="29" t="s">
        <v>183</v>
      </c>
      <c r="G183" s="40">
        <v>45901</v>
      </c>
      <c r="H183" s="29" t="str">
        <f>VLOOKUP(I183,Sheet1!$A$4:$B$20,2,0)</f>
        <v>Penata (Gol. III/c)</v>
      </c>
      <c r="I183" s="28" t="s">
        <v>374</v>
      </c>
      <c r="J183" s="30">
        <v>46174</v>
      </c>
      <c r="K183" s="31" t="s">
        <v>523</v>
      </c>
      <c r="L183" s="32" t="str">
        <f t="shared" ca="1" si="26"/>
        <v>0 tahun, 1 bulan</v>
      </c>
      <c r="M183" s="30" t="s">
        <v>528</v>
      </c>
      <c r="N183" s="30" t="s">
        <v>1</v>
      </c>
      <c r="O183" s="30">
        <v>27770</v>
      </c>
      <c r="P183" s="28" t="s">
        <v>746</v>
      </c>
      <c r="Q183" s="28" t="s">
        <v>745</v>
      </c>
      <c r="R183" s="35" t="str">
        <f t="shared" ca="1" si="27"/>
        <v>50 tahun</v>
      </c>
      <c r="S183" s="35" t="str">
        <f t="shared" ca="1" si="28"/>
        <v>6 bulan</v>
      </c>
      <c r="T183" s="35" t="str">
        <f t="shared" ca="1" si="29"/>
        <v>18 hari</v>
      </c>
      <c r="U183" s="36" t="str">
        <f ca="1">DATEDIF(G183,$A$2,"Y")&amp;" tahun, "&amp;DATEDIF(G183,$A$2,"Ym")&amp;" bulan"</f>
        <v>0 tahun, 10 bulan</v>
      </c>
      <c r="V183" s="37">
        <f t="shared" si="25"/>
        <v>48976</v>
      </c>
    </row>
    <row r="184" spans="1:22" s="38" customFormat="1" ht="14.55" customHeight="1">
      <c r="A184" s="26">
        <v>181</v>
      </c>
      <c r="B184" s="27" t="s">
        <v>158</v>
      </c>
      <c r="C184" s="29" t="s">
        <v>224</v>
      </c>
      <c r="D184" s="28" t="s">
        <v>182</v>
      </c>
      <c r="E184" s="29" t="s">
        <v>415</v>
      </c>
      <c r="F184" s="29" t="s">
        <v>183</v>
      </c>
      <c r="G184" s="40">
        <v>41883</v>
      </c>
      <c r="H184" s="29" t="str">
        <f>VLOOKUP(I184,Sheet1!$A$4:$B$20,2,0)</f>
        <v>Penata Muda Tk.I (Gol. III/b)</v>
      </c>
      <c r="I184" s="28" t="s">
        <v>373</v>
      </c>
      <c r="J184" s="30">
        <v>44835</v>
      </c>
      <c r="K184" s="31"/>
      <c r="L184" s="32" t="str">
        <f t="shared" ca="1" si="26"/>
        <v>3 tahun, 9 bulan</v>
      </c>
      <c r="M184" s="30" t="s">
        <v>528</v>
      </c>
      <c r="N184" s="30" t="s">
        <v>1</v>
      </c>
      <c r="O184" s="30">
        <v>27755</v>
      </c>
      <c r="P184" s="28" t="s">
        <v>748</v>
      </c>
      <c r="Q184" s="28" t="s">
        <v>747</v>
      </c>
      <c r="R184" s="35" t="str">
        <f t="shared" ca="1" si="27"/>
        <v>50 tahun</v>
      </c>
      <c r="S184" s="35" t="str">
        <f t="shared" ca="1" si="28"/>
        <v>7 bulan</v>
      </c>
      <c r="T184" s="35" t="str">
        <f t="shared" ca="1" si="29"/>
        <v>2 hari</v>
      </c>
      <c r="U184" s="36" t="str">
        <f ca="1">DATEDIF(G184,$A$2,"Y")&amp;" tahun, "&amp;DATEDIF(G184,$A$2,"Ym")&amp;" bulan"</f>
        <v>11 tahun, 10 bulan</v>
      </c>
      <c r="V184" s="37">
        <f t="shared" si="25"/>
        <v>48945</v>
      </c>
    </row>
    <row r="185" spans="1:22" s="38" customFormat="1" ht="14.55" customHeight="1">
      <c r="A185" s="26">
        <v>182</v>
      </c>
      <c r="B185" s="27" t="s">
        <v>159</v>
      </c>
      <c r="C185" s="29" t="s">
        <v>338</v>
      </c>
      <c r="D185" s="28" t="s">
        <v>182</v>
      </c>
      <c r="E185" s="29" t="s">
        <v>524</v>
      </c>
      <c r="F185" s="29" t="s">
        <v>481</v>
      </c>
      <c r="G185" s="40">
        <v>40087</v>
      </c>
      <c r="H185" s="29" t="str">
        <f>VLOOKUP(I185,Sheet1!$A$4:$B$20,2,0)</f>
        <v>Penata (Gol. III/c)</v>
      </c>
      <c r="I185" s="28" t="s">
        <v>374</v>
      </c>
      <c r="J185" s="30">
        <v>45627</v>
      </c>
      <c r="K185" s="31" t="s">
        <v>488</v>
      </c>
      <c r="L185" s="32" t="str">
        <f t="shared" ca="1" si="26"/>
        <v>1 tahun, 7 bulan</v>
      </c>
      <c r="M185" s="30" t="s">
        <v>528</v>
      </c>
      <c r="N185" s="30" t="s">
        <v>1</v>
      </c>
      <c r="O185" s="30">
        <v>29656</v>
      </c>
      <c r="P185" s="28" t="s">
        <v>750</v>
      </c>
      <c r="Q185" s="28" t="s">
        <v>749</v>
      </c>
      <c r="R185" s="35" t="str">
        <f t="shared" ca="1" si="27"/>
        <v>45 tahun</v>
      </c>
      <c r="S185" s="35" t="str">
        <f t="shared" ca="1" si="28"/>
        <v>4 bulan</v>
      </c>
      <c r="T185" s="35" t="str">
        <f t="shared" ca="1" si="29"/>
        <v>18 hari</v>
      </c>
      <c r="U185" s="36" t="str">
        <f ca="1">DATEDIF(G185,$A$2,"Y")&amp;" tahun, "&amp;DATEDIF(G185,$A$2,"Ym")&amp;" bulan"</f>
        <v>16 tahun, 9 bulan</v>
      </c>
      <c r="V185" s="37">
        <f t="shared" si="25"/>
        <v>50861</v>
      </c>
    </row>
    <row r="186" spans="1:22" s="38" customFormat="1" ht="14.55" customHeight="1">
      <c r="A186" s="26">
        <v>183</v>
      </c>
      <c r="B186" s="27" t="s">
        <v>160</v>
      </c>
      <c r="C186" s="29" t="s">
        <v>190</v>
      </c>
      <c r="D186" s="28" t="s">
        <v>182</v>
      </c>
      <c r="E186" s="29" t="s">
        <v>950</v>
      </c>
      <c r="F186" s="29" t="s">
        <v>481</v>
      </c>
      <c r="G186" s="40">
        <v>40148</v>
      </c>
      <c r="H186" s="29" t="str">
        <f>VLOOKUP(I186,Sheet1!$A$4:$B$20,2,0)</f>
        <v>Penata Muda Tk.I (Gol. III/b)</v>
      </c>
      <c r="I186" s="28" t="s">
        <v>373</v>
      </c>
      <c r="J186" s="30">
        <v>45383</v>
      </c>
      <c r="K186" s="31" t="s">
        <v>497</v>
      </c>
      <c r="L186" s="32" t="str">
        <f t="shared" ca="1" si="26"/>
        <v>2 tahun, 3 bulan</v>
      </c>
      <c r="M186" s="30" t="s">
        <v>528</v>
      </c>
      <c r="N186" s="30" t="s">
        <v>434</v>
      </c>
      <c r="O186" s="30">
        <v>29820</v>
      </c>
      <c r="P186" s="28" t="s">
        <v>752</v>
      </c>
      <c r="Q186" s="28" t="s">
        <v>751</v>
      </c>
      <c r="R186" s="35" t="str">
        <f t="shared" ca="1" si="27"/>
        <v>44 tahun</v>
      </c>
      <c r="S186" s="35" t="str">
        <f t="shared" ca="1" si="28"/>
        <v>11 bulan</v>
      </c>
      <c r="T186" s="35" t="str">
        <f t="shared" ca="1" si="29"/>
        <v>7 hari</v>
      </c>
      <c r="U186" s="36" t="str">
        <f ca="1">DATEDIF(G186,$A$2,"Y")&amp;" tahun, "&amp;DATEDIF(G186,$A$2,"Ym")&amp;" bulan"</f>
        <v>16 tahun, 7 bulan</v>
      </c>
      <c r="V186" s="37">
        <f t="shared" si="25"/>
        <v>51014</v>
      </c>
    </row>
    <row r="187" spans="1:22" s="38" customFormat="1" ht="14.55" customHeight="1">
      <c r="A187" s="26">
        <v>184</v>
      </c>
      <c r="B187" s="27" t="s">
        <v>161</v>
      </c>
      <c r="C187" s="29" t="s">
        <v>276</v>
      </c>
      <c r="D187" s="28" t="s">
        <v>182</v>
      </c>
      <c r="E187" s="29" t="s">
        <v>394</v>
      </c>
      <c r="F187" s="29" t="s">
        <v>183</v>
      </c>
      <c r="G187" s="40">
        <v>41883</v>
      </c>
      <c r="H187" s="29" t="str">
        <f>VLOOKUP(I187,Sheet1!$A$4:$B$20,2,0)</f>
        <v>Pengatur (Gol. II/c)</v>
      </c>
      <c r="I187" s="28" t="s">
        <v>369</v>
      </c>
      <c r="J187" s="30">
        <v>44835</v>
      </c>
      <c r="K187" s="31"/>
      <c r="L187" s="32" t="str">
        <f t="shared" ca="1" si="26"/>
        <v>3 tahun, 9 bulan</v>
      </c>
      <c r="M187" s="30" t="s">
        <v>527</v>
      </c>
      <c r="N187" s="30" t="s">
        <v>421</v>
      </c>
      <c r="O187" s="30">
        <v>29040</v>
      </c>
      <c r="P187" s="28" t="s">
        <v>754</v>
      </c>
      <c r="Q187" s="28" t="s">
        <v>753</v>
      </c>
      <c r="R187" s="35" t="str">
        <f t="shared" ca="1" si="27"/>
        <v>47 tahun</v>
      </c>
      <c r="S187" s="35" t="str">
        <f t="shared" ca="1" si="28"/>
        <v>0 bulan</v>
      </c>
      <c r="T187" s="35" t="str">
        <f t="shared" ca="1" si="29"/>
        <v>25 hari</v>
      </c>
      <c r="U187" s="36" t="str">
        <f ca="1">DATEDIF(G187,$A$2,"Y")&amp;" tahun, "&amp;DATEDIF(G187,$A$2,"Ym")&amp;" bulan"</f>
        <v>11 tahun, 10 bulan</v>
      </c>
      <c r="V187" s="37">
        <f t="shared" si="25"/>
        <v>50253</v>
      </c>
    </row>
    <row r="188" spans="1:22" s="38" customFormat="1" ht="14.55" customHeight="1">
      <c r="A188" s="26">
        <v>185</v>
      </c>
      <c r="B188" s="27" t="s">
        <v>162</v>
      </c>
      <c r="C188" s="29" t="s">
        <v>188</v>
      </c>
      <c r="D188" s="28" t="s">
        <v>182</v>
      </c>
      <c r="E188" s="29" t="s">
        <v>950</v>
      </c>
      <c r="F188" s="29" t="s">
        <v>481</v>
      </c>
      <c r="G188" s="40">
        <v>40148</v>
      </c>
      <c r="H188" s="29" t="str">
        <f>VLOOKUP(I188,Sheet1!$A$4:$B$20,2,0)</f>
        <v>Penata Muda Tk.I (Gol. III/b)</v>
      </c>
      <c r="I188" s="28" t="s">
        <v>373</v>
      </c>
      <c r="J188" s="30">
        <v>45962</v>
      </c>
      <c r="K188" s="31"/>
      <c r="L188" s="32" t="str">
        <f t="shared" ca="1" si="26"/>
        <v>0 tahun, 8 bulan</v>
      </c>
      <c r="M188" s="30" t="s">
        <v>527</v>
      </c>
      <c r="N188" s="30" t="s">
        <v>434</v>
      </c>
      <c r="O188" s="30">
        <v>27714</v>
      </c>
      <c r="P188" s="28" t="s">
        <v>756</v>
      </c>
      <c r="Q188" s="28" t="s">
        <v>755</v>
      </c>
      <c r="R188" s="35" t="str">
        <f t="shared" ca="1" si="27"/>
        <v>50 tahun</v>
      </c>
      <c r="S188" s="35" t="str">
        <f t="shared" ca="1" si="28"/>
        <v>8 bulan</v>
      </c>
      <c r="T188" s="35" t="str">
        <f t="shared" ca="1" si="29"/>
        <v>13 hari</v>
      </c>
      <c r="U188" s="36" t="str">
        <f ca="1">DATEDIF(G188,$A$2,"Y")&amp;" tahun, "&amp;DATEDIF(G188,$A$2,"Ym")&amp;" bulan"</f>
        <v>16 tahun, 7 bulan</v>
      </c>
      <c r="V188" s="37">
        <f t="shared" si="25"/>
        <v>48914</v>
      </c>
    </row>
    <row r="189" spans="1:22" s="38" customFormat="1" ht="14.55" customHeight="1">
      <c r="A189" s="26">
        <v>186</v>
      </c>
      <c r="B189" s="27" t="s">
        <v>317</v>
      </c>
      <c r="C189" s="29" t="s">
        <v>318</v>
      </c>
      <c r="D189" s="28" t="s">
        <v>186</v>
      </c>
      <c r="E189" s="29" t="s">
        <v>948</v>
      </c>
      <c r="F189" s="29" t="s">
        <v>485</v>
      </c>
      <c r="G189" s="40">
        <v>42401</v>
      </c>
      <c r="H189" s="29" t="str">
        <f>VLOOKUP(I189,Sheet1!$A$4:$B$20,2,0)</f>
        <v>Penata Muda Tk.I (Gol. III/b)</v>
      </c>
      <c r="I189" s="28" t="s">
        <v>373</v>
      </c>
      <c r="J189" s="30">
        <v>46113</v>
      </c>
      <c r="K189" s="31" t="s">
        <v>989</v>
      </c>
      <c r="L189" s="32" t="str">
        <f t="shared" ca="1" si="26"/>
        <v>0 tahun, 3 bulan</v>
      </c>
      <c r="M189" s="30" t="s">
        <v>528</v>
      </c>
      <c r="N189" s="30" t="s">
        <v>452</v>
      </c>
      <c r="O189" s="30">
        <v>30687</v>
      </c>
      <c r="P189" s="28" t="s">
        <v>877</v>
      </c>
      <c r="Q189" s="28" t="s">
        <v>876</v>
      </c>
      <c r="R189" s="35" t="str">
        <f t="shared" ca="1" si="27"/>
        <v>42 tahun</v>
      </c>
      <c r="S189" s="35" t="str">
        <f t="shared" ca="1" si="28"/>
        <v>6 bulan</v>
      </c>
      <c r="T189" s="35" t="str">
        <f t="shared" ca="1" si="29"/>
        <v>23 hari</v>
      </c>
      <c r="U189" s="36" t="str">
        <f ca="1">DATEDIF(G189,$A$2,"Y")&amp;" tahun, "&amp;DATEDIF(G189,$A$2,"Ym")&amp;" bulan"</f>
        <v>10 tahun, 5 bulan</v>
      </c>
      <c r="V189" s="37">
        <f t="shared" ref="V189:V197" si="30">DATE(YEAR(O189)+58,MONTH(O189)+1,1)</f>
        <v>51898</v>
      </c>
    </row>
    <row r="190" spans="1:22" s="38" customFormat="1" ht="14.55" customHeight="1">
      <c r="A190" s="26">
        <v>187</v>
      </c>
      <c r="B190" s="27" t="s">
        <v>163</v>
      </c>
      <c r="C190" s="29" t="s">
        <v>206</v>
      </c>
      <c r="D190" s="28" t="s">
        <v>182</v>
      </c>
      <c r="E190" s="29" t="s">
        <v>405</v>
      </c>
      <c r="F190" s="29" t="s">
        <v>183</v>
      </c>
      <c r="G190" s="40">
        <v>40087</v>
      </c>
      <c r="H190" s="29" t="str">
        <f>VLOOKUP(I190,Sheet1!$A$4:$B$20,2,0)</f>
        <v>Penata (Gol. III/c)</v>
      </c>
      <c r="I190" s="28" t="s">
        <v>374</v>
      </c>
      <c r="J190" s="30">
        <v>45566</v>
      </c>
      <c r="K190" s="31" t="s">
        <v>488</v>
      </c>
      <c r="L190" s="32" t="str">
        <f t="shared" ca="1" si="26"/>
        <v>1 tahun, 9 bulan</v>
      </c>
      <c r="M190" s="30" t="s">
        <v>528</v>
      </c>
      <c r="N190" s="30" t="s">
        <v>421</v>
      </c>
      <c r="O190" s="30">
        <v>29849</v>
      </c>
      <c r="P190" s="28" t="s">
        <v>758</v>
      </c>
      <c r="Q190" s="28" t="s">
        <v>757</v>
      </c>
      <c r="R190" s="35" t="str">
        <f t="shared" ca="1" si="27"/>
        <v>44 tahun</v>
      </c>
      <c r="S190" s="35" t="str">
        <f t="shared" ca="1" si="28"/>
        <v>10 bulan</v>
      </c>
      <c r="T190" s="35" t="str">
        <f t="shared" ca="1" si="29"/>
        <v>9 hari</v>
      </c>
      <c r="U190" s="36" t="str">
        <f ca="1">DATEDIF(G190,$A$2,"Y")&amp;" tahun, "&amp;DATEDIF(G190,$A$2,"Ym")&amp;" bulan"</f>
        <v>16 tahun, 9 bulan</v>
      </c>
      <c r="V190" s="37">
        <f t="shared" si="30"/>
        <v>51044</v>
      </c>
    </row>
    <row r="191" spans="1:22" s="38" customFormat="1" ht="14.55" customHeight="1">
      <c r="A191" s="26">
        <v>188</v>
      </c>
      <c r="B191" s="27" t="s">
        <v>164</v>
      </c>
      <c r="C191" s="29" t="s">
        <v>165</v>
      </c>
      <c r="D191" s="28" t="s">
        <v>182</v>
      </c>
      <c r="E191" s="29" t="s">
        <v>410</v>
      </c>
      <c r="F191" s="29" t="s">
        <v>183</v>
      </c>
      <c r="G191" s="40">
        <v>41883</v>
      </c>
      <c r="H191" s="29" t="str">
        <f>VLOOKUP(I191,Sheet1!$A$4:$B$20,2,0)</f>
        <v>Pengatur Muda Tk. I (Gol. II/b)</v>
      </c>
      <c r="I191" s="28" t="s">
        <v>368</v>
      </c>
      <c r="J191" s="30">
        <v>45383</v>
      </c>
      <c r="K191" s="31" t="s">
        <v>490</v>
      </c>
      <c r="L191" s="32" t="str">
        <f t="shared" ca="1" si="26"/>
        <v>2 tahun, 3 bulan</v>
      </c>
      <c r="M191" s="30" t="s">
        <v>527</v>
      </c>
      <c r="N191" s="30" t="s">
        <v>1</v>
      </c>
      <c r="O191" s="30">
        <v>26516</v>
      </c>
      <c r="P191" s="28" t="s">
        <v>760</v>
      </c>
      <c r="Q191" s="28" t="s">
        <v>759</v>
      </c>
      <c r="R191" s="35" t="str">
        <f t="shared" ca="1" si="27"/>
        <v>53 tahun</v>
      </c>
      <c r="S191" s="35" t="str">
        <f t="shared" ca="1" si="28"/>
        <v>11 bulan</v>
      </c>
      <c r="T191" s="35" t="str">
        <f t="shared" ca="1" si="29"/>
        <v>24 hari</v>
      </c>
      <c r="U191" s="36" t="str">
        <f ca="1">DATEDIF(G191,$A$2,"Y")&amp;" tahun, "&amp;DATEDIF(G191,$A$2,"Ym")&amp;" bulan"</f>
        <v>11 tahun, 10 bulan</v>
      </c>
      <c r="V191" s="37">
        <f t="shared" si="30"/>
        <v>47727</v>
      </c>
    </row>
    <row r="192" spans="1:22" s="38" customFormat="1" ht="14.55" customHeight="1">
      <c r="A192" s="26">
        <v>189</v>
      </c>
      <c r="B192" s="27" t="s">
        <v>166</v>
      </c>
      <c r="C192" s="29" t="s">
        <v>167</v>
      </c>
      <c r="D192" s="28" t="s">
        <v>182</v>
      </c>
      <c r="E192" s="29" t="s">
        <v>394</v>
      </c>
      <c r="F192" s="29" t="s">
        <v>183</v>
      </c>
      <c r="G192" s="40">
        <v>39722</v>
      </c>
      <c r="H192" s="29" t="str">
        <f>VLOOKUP(I192,Sheet1!$A$4:$B$20,2,0)</f>
        <v>Penata Muda (Gol. III/a)</v>
      </c>
      <c r="I192" s="28" t="s">
        <v>367</v>
      </c>
      <c r="J192" s="30">
        <v>45748</v>
      </c>
      <c r="K192" s="31" t="s">
        <v>498</v>
      </c>
      <c r="L192" s="32" t="str">
        <f t="shared" ca="1" si="26"/>
        <v>1 tahun, 3 bulan</v>
      </c>
      <c r="M192" s="30" t="s">
        <v>528</v>
      </c>
      <c r="N192" s="30" t="s">
        <v>1</v>
      </c>
      <c r="O192" s="30">
        <v>28946</v>
      </c>
      <c r="P192" s="28" t="s">
        <v>762</v>
      </c>
      <c r="Q192" s="28" t="s">
        <v>761</v>
      </c>
      <c r="R192" s="35" t="str">
        <f t="shared" ca="1" si="27"/>
        <v>47 tahun</v>
      </c>
      <c r="S192" s="35" t="str">
        <f t="shared" ca="1" si="28"/>
        <v>3 bulan</v>
      </c>
      <c r="T192" s="35" t="str">
        <f t="shared" ca="1" si="29"/>
        <v>28 hari</v>
      </c>
      <c r="U192" s="36" t="str">
        <f ca="1">DATEDIF(G192,$A$2,"Y")&amp;" tahun, "&amp;DATEDIF(G192,$A$2,"Ym")&amp;" bulan"</f>
        <v>17 tahun, 9 bulan</v>
      </c>
      <c r="V192" s="37">
        <f t="shared" si="30"/>
        <v>50161</v>
      </c>
    </row>
    <row r="193" spans="1:22" s="38" customFormat="1" ht="14.55" customHeight="1">
      <c r="A193" s="26">
        <v>190</v>
      </c>
      <c r="B193" s="27" t="s">
        <v>168</v>
      </c>
      <c r="C193" s="29" t="s">
        <v>305</v>
      </c>
      <c r="D193" s="28" t="s">
        <v>182</v>
      </c>
      <c r="E193" s="29" t="s">
        <v>948</v>
      </c>
      <c r="F193" s="29" t="s">
        <v>481</v>
      </c>
      <c r="G193" s="40">
        <v>41883</v>
      </c>
      <c r="H193" s="29" t="str">
        <f>VLOOKUP(I193,Sheet1!$A$4:$B$20,2,0)</f>
        <v>Penata Muda Tk.I (Gol. III/b)</v>
      </c>
      <c r="I193" s="28" t="s">
        <v>373</v>
      </c>
      <c r="J193" s="30">
        <v>44835</v>
      </c>
      <c r="K193" s="31"/>
      <c r="L193" s="32" t="str">
        <f t="shared" ca="1" si="26"/>
        <v>3 tahun, 9 bulan</v>
      </c>
      <c r="M193" s="30" t="s">
        <v>528</v>
      </c>
      <c r="N193" s="30" t="s">
        <v>1</v>
      </c>
      <c r="O193" s="30">
        <v>29118</v>
      </c>
      <c r="P193" s="28" t="s">
        <v>764</v>
      </c>
      <c r="Q193" s="28" t="s">
        <v>763</v>
      </c>
      <c r="R193" s="35" t="str">
        <f t="shared" ca="1" si="27"/>
        <v>46 tahun</v>
      </c>
      <c r="S193" s="35" t="str">
        <f t="shared" ca="1" si="28"/>
        <v>10 bulan</v>
      </c>
      <c r="T193" s="35" t="str">
        <f t="shared" ca="1" si="29"/>
        <v>9 hari</v>
      </c>
      <c r="U193" s="36" t="str">
        <f ca="1">DATEDIF(G193,$A$2,"Y")&amp;" tahun, "&amp;DATEDIF(G193,$A$2,"Ym")&amp;" bulan"</f>
        <v>11 tahun, 10 bulan</v>
      </c>
      <c r="V193" s="37">
        <f t="shared" si="30"/>
        <v>50314</v>
      </c>
    </row>
    <row r="194" spans="1:22" s="38" customFormat="1" ht="14.55" customHeight="1">
      <c r="A194" s="26">
        <v>191</v>
      </c>
      <c r="B194" s="27" t="s">
        <v>169</v>
      </c>
      <c r="C194" s="29" t="s">
        <v>268</v>
      </c>
      <c r="D194" s="28" t="s">
        <v>182</v>
      </c>
      <c r="E194" s="29" t="s">
        <v>416</v>
      </c>
      <c r="F194" s="29" t="s">
        <v>183</v>
      </c>
      <c r="G194" s="40">
        <v>39722</v>
      </c>
      <c r="H194" s="29" t="str">
        <f>VLOOKUP(I194,Sheet1!$A$4:$B$20,2,0)</f>
        <v>Penata (Gol. III/c)</v>
      </c>
      <c r="I194" s="28" t="s">
        <v>374</v>
      </c>
      <c r="J194" s="30">
        <v>45566</v>
      </c>
      <c r="K194" s="31" t="s">
        <v>515</v>
      </c>
      <c r="L194" s="32" t="str">
        <f t="shared" ca="1" si="26"/>
        <v>1 tahun, 9 bulan</v>
      </c>
      <c r="M194" s="30" t="s">
        <v>527</v>
      </c>
      <c r="N194" s="30" t="s">
        <v>1</v>
      </c>
      <c r="O194" s="30">
        <v>28576</v>
      </c>
      <c r="P194" s="28" t="s">
        <v>766</v>
      </c>
      <c r="Q194" s="28" t="s">
        <v>765</v>
      </c>
      <c r="R194" s="35" t="str">
        <f t="shared" ca="1" si="27"/>
        <v>48 tahun</v>
      </c>
      <c r="S194" s="35" t="str">
        <f t="shared" ca="1" si="28"/>
        <v>4 bulan</v>
      </c>
      <c r="T194" s="35" t="str">
        <f t="shared" ca="1" si="29"/>
        <v>2 hari</v>
      </c>
      <c r="U194" s="36" t="str">
        <f ca="1">DATEDIF(G194,$A$2,"Y")&amp;" tahun, "&amp;DATEDIF(G194,$A$2,"Ym")&amp;" bulan"</f>
        <v>17 tahun, 9 bulan</v>
      </c>
      <c r="V194" s="37">
        <f t="shared" si="30"/>
        <v>49766</v>
      </c>
    </row>
    <row r="195" spans="1:22" s="38" customFormat="1" ht="14.55" customHeight="1">
      <c r="A195" s="26">
        <v>192</v>
      </c>
      <c r="B195" s="27" t="s">
        <v>284</v>
      </c>
      <c r="C195" s="29" t="s">
        <v>285</v>
      </c>
      <c r="D195" s="28" t="s">
        <v>186</v>
      </c>
      <c r="E195" s="29" t="s">
        <v>947</v>
      </c>
      <c r="F195" s="29" t="s">
        <v>485</v>
      </c>
      <c r="G195" s="40">
        <v>42401</v>
      </c>
      <c r="H195" s="29" t="str">
        <f>VLOOKUP(I195,Sheet1!$A$4:$B$20,2,0)</f>
        <v>Pengatur Tk. I (Gol. II/d)</v>
      </c>
      <c r="I195" s="28" t="s">
        <v>370</v>
      </c>
      <c r="J195" s="30">
        <v>46113</v>
      </c>
      <c r="K195" s="31" t="s">
        <v>988</v>
      </c>
      <c r="L195" s="32" t="str">
        <f t="shared" ca="1" si="26"/>
        <v>0 tahun, 3 bulan</v>
      </c>
      <c r="M195" s="30" t="s">
        <v>528</v>
      </c>
      <c r="N195" s="30" t="s">
        <v>1</v>
      </c>
      <c r="O195" s="30">
        <v>34323</v>
      </c>
      <c r="P195" s="28" t="s">
        <v>879</v>
      </c>
      <c r="Q195" s="28" t="s">
        <v>878</v>
      </c>
      <c r="R195" s="35" t="str">
        <f t="shared" ca="1" si="27"/>
        <v>32 tahun</v>
      </c>
      <c r="S195" s="35" t="str">
        <f t="shared" ca="1" si="28"/>
        <v>7 bulan</v>
      </c>
      <c r="T195" s="35" t="str">
        <f t="shared" ca="1" si="29"/>
        <v>9 hari</v>
      </c>
      <c r="U195" s="36" t="str">
        <f ca="1">DATEDIF(G195,$A$2,"Y")&amp;" tahun, "&amp;DATEDIF(G195,$A$2,"Ym")&amp;" bulan"</f>
        <v>10 tahun, 5 bulan</v>
      </c>
      <c r="V195" s="37">
        <f t="shared" si="30"/>
        <v>55519</v>
      </c>
    </row>
    <row r="196" spans="1:22" s="38" customFormat="1" ht="14.55" customHeight="1">
      <c r="A196" s="26">
        <v>193</v>
      </c>
      <c r="B196" s="27" t="s">
        <v>315</v>
      </c>
      <c r="C196" s="29" t="s">
        <v>316</v>
      </c>
      <c r="D196" s="28" t="s">
        <v>186</v>
      </c>
      <c r="E196" s="29" t="s">
        <v>400</v>
      </c>
      <c r="F196" s="29" t="s">
        <v>485</v>
      </c>
      <c r="G196" s="40">
        <v>42401</v>
      </c>
      <c r="H196" s="29" t="str">
        <f>VLOOKUP(I196,Sheet1!$A$4:$B$20,2,0)</f>
        <v>Pengatur Tk. I (Gol. II/d)</v>
      </c>
      <c r="I196" s="28" t="s">
        <v>370</v>
      </c>
      <c r="J196" s="30">
        <v>45931</v>
      </c>
      <c r="K196" s="31"/>
      <c r="L196" s="32" t="str">
        <f t="shared" ca="1" si="26"/>
        <v>0 tahun, 9 bulan</v>
      </c>
      <c r="M196" s="30" t="s">
        <v>527</v>
      </c>
      <c r="N196" s="30" t="s">
        <v>1</v>
      </c>
      <c r="O196" s="30">
        <v>32720</v>
      </c>
      <c r="P196" s="28" t="s">
        <v>881</v>
      </c>
      <c r="Q196" s="28" t="s">
        <v>880</v>
      </c>
      <c r="R196" s="35" t="str">
        <f t="shared" ca="1" si="27"/>
        <v>36 tahun</v>
      </c>
      <c r="S196" s="35" t="str">
        <f t="shared" ca="1" si="28"/>
        <v>11 bulan</v>
      </c>
      <c r="T196" s="35" t="str">
        <f t="shared" ca="1" si="29"/>
        <v>28 hari</v>
      </c>
      <c r="U196" s="36" t="str">
        <f ca="1">DATEDIF(G196,$A$2,"Y")&amp;" tahun, "&amp;DATEDIF(G196,$A$2,"Ym")&amp;" bulan"</f>
        <v>10 tahun, 5 bulan</v>
      </c>
      <c r="V196" s="37">
        <f t="shared" si="30"/>
        <v>53905</v>
      </c>
    </row>
    <row r="197" spans="1:22" s="38" customFormat="1" ht="14.55" customHeight="1">
      <c r="A197" s="26">
        <v>194</v>
      </c>
      <c r="B197" s="27" t="s">
        <v>170</v>
      </c>
      <c r="C197" s="29" t="s">
        <v>171</v>
      </c>
      <c r="D197" s="28" t="s">
        <v>182</v>
      </c>
      <c r="E197" s="29" t="s">
        <v>395</v>
      </c>
      <c r="F197" s="29" t="s">
        <v>183</v>
      </c>
      <c r="G197" s="40">
        <v>39083</v>
      </c>
      <c r="H197" s="29" t="str">
        <f>VLOOKUP(I197,Sheet1!$A$4:$B$20,2,0)</f>
        <v>Pengatur Tk. I (Gol. II/d)</v>
      </c>
      <c r="I197" s="28" t="s">
        <v>370</v>
      </c>
      <c r="J197" s="30">
        <v>43556</v>
      </c>
      <c r="K197" s="31"/>
      <c r="L197" s="32" t="str">
        <f t="shared" ca="1" si="26"/>
        <v>7 tahun, 3 bulan</v>
      </c>
      <c r="M197" s="30" t="s">
        <v>527</v>
      </c>
      <c r="N197" s="30" t="s">
        <v>1</v>
      </c>
      <c r="O197" s="30">
        <v>25017</v>
      </c>
      <c r="P197" s="28" t="s">
        <v>921</v>
      </c>
      <c r="Q197" s="28" t="s">
        <v>767</v>
      </c>
      <c r="R197" s="35" t="str">
        <f t="shared" ca="1" si="27"/>
        <v>58 tahun</v>
      </c>
      <c r="S197" s="35" t="str">
        <f t="shared" ca="1" si="28"/>
        <v>1 bulan</v>
      </c>
      <c r="T197" s="35" t="str">
        <f t="shared" ca="1" si="29"/>
        <v>1 hari</v>
      </c>
      <c r="U197" s="36" t="str">
        <f ca="1">DATEDIF(G197,$A$2,"Y")&amp;" tahun, "&amp;DATEDIF(G197,$A$2,"Ym")&amp;" bulan"</f>
        <v>19 tahun, 6 bulan</v>
      </c>
      <c r="V197" s="37">
        <f t="shared" si="30"/>
        <v>46204</v>
      </c>
    </row>
    <row r="198" spans="1:22">
      <c r="B198" s="22"/>
      <c r="K198" s="22"/>
      <c r="M198" s="23"/>
      <c r="N198" s="23"/>
      <c r="O198" s="23"/>
      <c r="P198" s="23"/>
      <c r="Q198" s="23"/>
      <c r="R198" s="22"/>
      <c r="S198" s="22"/>
      <c r="T198" s="22"/>
      <c r="U198" s="22"/>
      <c r="V198" s="22"/>
    </row>
    <row r="199" spans="1:22">
      <c r="B199" s="22"/>
      <c r="K199" s="22"/>
      <c r="M199" s="23"/>
      <c r="N199" s="23"/>
      <c r="O199" s="23"/>
      <c r="P199" s="23"/>
      <c r="Q199" s="23"/>
      <c r="R199" s="22"/>
      <c r="S199" s="22"/>
      <c r="T199" s="22"/>
      <c r="U199" s="22"/>
      <c r="V199" s="22"/>
    </row>
    <row r="200" spans="1:22">
      <c r="B200" s="22"/>
      <c r="K200" s="22"/>
      <c r="M200" s="23"/>
      <c r="N200" s="23"/>
      <c r="O200" s="23"/>
      <c r="P200" s="23"/>
      <c r="Q200" s="23"/>
      <c r="R200" s="22"/>
      <c r="S200" s="22"/>
      <c r="T200" s="22"/>
      <c r="U200" s="22"/>
      <c r="V200" s="22"/>
    </row>
    <row r="201" spans="1:22">
      <c r="B201" s="22"/>
      <c r="K201" s="22"/>
      <c r="M201" s="23"/>
      <c r="N201" s="23"/>
      <c r="O201" s="23"/>
      <c r="P201" s="23"/>
      <c r="Q201" s="23"/>
      <c r="R201" s="22"/>
      <c r="S201" s="22"/>
      <c r="T201" s="22"/>
      <c r="U201" s="22"/>
      <c r="V201" s="22"/>
    </row>
    <row r="202" spans="1:22">
      <c r="B202" s="22"/>
      <c r="K202" s="22"/>
      <c r="M202" s="23"/>
      <c r="N202" s="23"/>
      <c r="O202" s="23"/>
      <c r="P202" s="23"/>
      <c r="Q202" s="23"/>
      <c r="R202" s="22"/>
      <c r="S202" s="22"/>
      <c r="T202" s="22"/>
      <c r="U202" s="22"/>
      <c r="V202" s="22"/>
    </row>
    <row r="203" spans="1:22">
      <c r="B203" s="22"/>
      <c r="K203" s="22"/>
      <c r="M203" s="23"/>
      <c r="N203" s="23"/>
      <c r="O203" s="23"/>
      <c r="P203" s="23"/>
      <c r="Q203" s="23"/>
      <c r="R203" s="22"/>
      <c r="S203" s="22"/>
      <c r="T203" s="22"/>
      <c r="U203" s="22"/>
      <c r="V203" s="22"/>
    </row>
    <row r="204" spans="1:22">
      <c r="B204" s="22"/>
      <c r="K204" s="22"/>
      <c r="M204" s="23"/>
      <c r="N204" s="23"/>
      <c r="O204" s="23"/>
      <c r="P204" s="23"/>
      <c r="Q204" s="23"/>
      <c r="R204" s="22"/>
      <c r="S204" s="22"/>
      <c r="T204" s="22"/>
      <c r="U204" s="22"/>
      <c r="V204" s="22"/>
    </row>
    <row r="205" spans="1:22">
      <c r="B205" s="22"/>
      <c r="K205" s="22"/>
      <c r="M205" s="23"/>
      <c r="N205" s="23"/>
      <c r="O205" s="23"/>
      <c r="P205" s="23"/>
      <c r="Q205" s="23"/>
      <c r="R205" s="22"/>
      <c r="S205" s="22"/>
      <c r="T205" s="22"/>
      <c r="U205" s="22"/>
      <c r="V205" s="22"/>
    </row>
    <row r="206" spans="1:22">
      <c r="B206" s="22"/>
      <c r="K206" s="22"/>
      <c r="M206" s="23"/>
      <c r="N206" s="23"/>
      <c r="O206" s="23"/>
      <c r="P206" s="23"/>
      <c r="Q206" s="23"/>
      <c r="R206" s="22"/>
      <c r="S206" s="22"/>
      <c r="T206" s="22"/>
      <c r="U206" s="22"/>
      <c r="V206" s="22"/>
    </row>
    <row r="207" spans="1:22">
      <c r="B207" s="22"/>
      <c r="K207" s="22"/>
      <c r="M207" s="23"/>
      <c r="N207" s="23"/>
      <c r="O207" s="23"/>
      <c r="P207" s="23"/>
      <c r="Q207" s="23"/>
      <c r="R207" s="22"/>
      <c r="S207" s="22"/>
      <c r="T207" s="22"/>
      <c r="U207" s="22"/>
      <c r="V207" s="22"/>
    </row>
    <row r="208" spans="1:22">
      <c r="B208" s="22"/>
      <c r="K208" s="22"/>
      <c r="M208" s="23"/>
      <c r="N208" s="23"/>
      <c r="O208" s="23"/>
      <c r="P208" s="23"/>
      <c r="Q208" s="23"/>
      <c r="R208" s="22"/>
      <c r="S208" s="22"/>
      <c r="T208" s="22"/>
      <c r="U208" s="22"/>
      <c r="V208" s="22"/>
    </row>
    <row r="209" spans="2:22">
      <c r="B209" s="22"/>
      <c r="K209" s="22"/>
      <c r="M209" s="23"/>
      <c r="N209" s="23"/>
      <c r="O209" s="23"/>
      <c r="P209" s="23"/>
      <c r="Q209" s="23"/>
      <c r="R209" s="22"/>
      <c r="S209" s="22"/>
      <c r="T209" s="22"/>
      <c r="U209" s="22"/>
      <c r="V209" s="22"/>
    </row>
    <row r="210" spans="2:22">
      <c r="B210" s="22"/>
      <c r="K210" s="22"/>
      <c r="M210" s="23"/>
      <c r="N210" s="23"/>
      <c r="O210" s="23"/>
      <c r="P210" s="23"/>
      <c r="Q210" s="23"/>
      <c r="R210" s="22"/>
      <c r="S210" s="22"/>
      <c r="T210" s="22"/>
      <c r="U210" s="22"/>
      <c r="V210" s="22"/>
    </row>
    <row r="211" spans="2:22">
      <c r="B211" s="22"/>
      <c r="K211" s="22"/>
      <c r="M211" s="23"/>
      <c r="N211" s="23"/>
      <c r="O211" s="23"/>
      <c r="P211" s="23"/>
      <c r="Q211" s="23"/>
      <c r="R211" s="22"/>
      <c r="S211" s="22"/>
      <c r="T211" s="22"/>
      <c r="U211" s="22"/>
      <c r="V211" s="22"/>
    </row>
    <row r="212" spans="2:22">
      <c r="B212" s="22"/>
      <c r="K212" s="22"/>
      <c r="M212" s="23"/>
      <c r="N212" s="23"/>
      <c r="O212" s="23"/>
      <c r="P212" s="23"/>
      <c r="Q212" s="23"/>
      <c r="R212" s="22"/>
      <c r="S212" s="22"/>
      <c r="T212" s="22"/>
      <c r="U212" s="22"/>
      <c r="V212" s="22"/>
    </row>
    <row r="213" spans="2:22">
      <c r="B213" s="22"/>
      <c r="K213" s="22"/>
      <c r="M213" s="23"/>
      <c r="N213" s="23"/>
      <c r="O213" s="23"/>
      <c r="P213" s="23"/>
      <c r="Q213" s="23"/>
      <c r="R213" s="22"/>
      <c r="S213" s="22"/>
      <c r="T213" s="22"/>
      <c r="U213" s="22"/>
      <c r="V213" s="22"/>
    </row>
    <row r="214" spans="2:22">
      <c r="B214" s="22"/>
      <c r="K214" s="22"/>
      <c r="M214" s="23"/>
      <c r="N214" s="23"/>
      <c r="O214" s="23"/>
      <c r="P214" s="23"/>
      <c r="Q214" s="23"/>
      <c r="R214" s="22"/>
      <c r="S214" s="22"/>
      <c r="T214" s="22"/>
      <c r="U214" s="22"/>
      <c r="V214" s="22"/>
    </row>
    <row r="215" spans="2:22">
      <c r="B215" s="22"/>
      <c r="K215" s="22"/>
      <c r="M215" s="23"/>
      <c r="N215" s="23"/>
      <c r="O215" s="23"/>
      <c r="P215" s="23"/>
      <c r="Q215" s="23"/>
      <c r="R215" s="22"/>
      <c r="S215" s="22"/>
      <c r="T215" s="22"/>
      <c r="U215" s="22"/>
      <c r="V215" s="22"/>
    </row>
    <row r="216" spans="2:22">
      <c r="B216" s="22"/>
      <c r="K216" s="22"/>
      <c r="M216" s="23"/>
      <c r="N216" s="23"/>
      <c r="O216" s="23"/>
      <c r="P216" s="23"/>
      <c r="Q216" s="23"/>
      <c r="R216" s="22"/>
      <c r="S216" s="22"/>
      <c r="T216" s="22"/>
      <c r="U216" s="22"/>
      <c r="V216" s="22"/>
    </row>
    <row r="217" spans="2:22">
      <c r="B217" s="22"/>
      <c r="K217" s="22"/>
      <c r="M217" s="23"/>
      <c r="N217" s="23"/>
      <c r="O217" s="23"/>
      <c r="P217" s="23"/>
      <c r="Q217" s="23"/>
      <c r="R217" s="22"/>
      <c r="S217" s="22"/>
      <c r="T217" s="22"/>
      <c r="U217" s="22"/>
      <c r="V217" s="22"/>
    </row>
    <row r="218" spans="2:22">
      <c r="B218" s="22"/>
      <c r="K218" s="22"/>
      <c r="M218" s="23"/>
      <c r="N218" s="23"/>
      <c r="O218" s="23"/>
      <c r="P218" s="23"/>
      <c r="Q218" s="23"/>
      <c r="R218" s="22"/>
      <c r="S218" s="22"/>
      <c r="T218" s="22"/>
      <c r="U218" s="22"/>
      <c r="V218" s="22"/>
    </row>
    <row r="219" spans="2:22">
      <c r="B219" s="22"/>
      <c r="K219" s="22"/>
      <c r="M219" s="23"/>
      <c r="N219" s="23"/>
      <c r="O219" s="23"/>
      <c r="P219" s="23"/>
      <c r="Q219" s="23"/>
      <c r="R219" s="22"/>
      <c r="S219" s="22"/>
      <c r="T219" s="22"/>
      <c r="U219" s="22"/>
      <c r="V219" s="22"/>
    </row>
    <row r="220" spans="2:22">
      <c r="B220" s="22"/>
      <c r="K220" s="22"/>
      <c r="M220" s="23"/>
      <c r="N220" s="23"/>
      <c r="O220" s="23"/>
      <c r="P220" s="23"/>
      <c r="Q220" s="23"/>
      <c r="R220" s="22"/>
      <c r="S220" s="22"/>
      <c r="T220" s="22"/>
      <c r="U220" s="22"/>
      <c r="V220" s="22"/>
    </row>
    <row r="221" spans="2:22">
      <c r="B221" s="22"/>
      <c r="K221" s="22"/>
      <c r="M221" s="23"/>
      <c r="N221" s="23"/>
      <c r="O221" s="23"/>
      <c r="P221" s="23"/>
      <c r="Q221" s="23"/>
      <c r="R221" s="22"/>
      <c r="S221" s="22"/>
      <c r="T221" s="22"/>
      <c r="U221" s="22"/>
      <c r="V221" s="22"/>
    </row>
    <row r="222" spans="2:22">
      <c r="B222" s="22"/>
      <c r="K222" s="22"/>
      <c r="M222" s="23"/>
      <c r="N222" s="23"/>
      <c r="O222" s="23"/>
      <c r="P222" s="23"/>
      <c r="Q222" s="23"/>
      <c r="R222" s="22"/>
      <c r="S222" s="22"/>
      <c r="T222" s="22"/>
      <c r="U222" s="22"/>
      <c r="V222" s="22"/>
    </row>
    <row r="223" spans="2:22">
      <c r="B223" s="22"/>
      <c r="K223" s="22"/>
      <c r="M223" s="23"/>
      <c r="N223" s="23"/>
      <c r="O223" s="23"/>
      <c r="P223" s="23"/>
      <c r="Q223" s="23"/>
      <c r="R223" s="22"/>
      <c r="S223" s="22"/>
      <c r="T223" s="22"/>
      <c r="U223" s="22"/>
      <c r="V223" s="22"/>
    </row>
    <row r="224" spans="2:22">
      <c r="B224" s="22"/>
      <c r="K224" s="22"/>
      <c r="M224" s="23"/>
      <c r="N224" s="23"/>
      <c r="O224" s="23"/>
      <c r="P224" s="23"/>
      <c r="Q224" s="23"/>
      <c r="R224" s="22"/>
      <c r="S224" s="22"/>
      <c r="T224" s="22"/>
      <c r="U224" s="22"/>
      <c r="V224" s="22"/>
    </row>
    <row r="225" spans="2:22">
      <c r="B225" s="22"/>
      <c r="K225" s="22"/>
      <c r="M225" s="23"/>
      <c r="N225" s="23"/>
      <c r="O225" s="23"/>
      <c r="P225" s="23"/>
      <c r="Q225" s="23"/>
      <c r="R225" s="22"/>
      <c r="S225" s="22"/>
      <c r="T225" s="22"/>
      <c r="U225" s="22"/>
      <c r="V225" s="22"/>
    </row>
    <row r="226" spans="2:22">
      <c r="B226" s="22"/>
      <c r="K226" s="22"/>
      <c r="M226" s="23"/>
      <c r="N226" s="23"/>
      <c r="O226" s="23"/>
      <c r="P226" s="23"/>
      <c r="Q226" s="23"/>
      <c r="R226" s="22"/>
      <c r="S226" s="22"/>
      <c r="T226" s="22"/>
      <c r="U226" s="22"/>
      <c r="V226" s="22"/>
    </row>
    <row r="227" spans="2:22">
      <c r="B227" s="22"/>
      <c r="K227" s="22"/>
      <c r="M227" s="23"/>
      <c r="N227" s="23"/>
      <c r="O227" s="23"/>
      <c r="P227" s="23"/>
      <c r="Q227" s="23"/>
      <c r="R227" s="22"/>
      <c r="S227" s="22"/>
      <c r="T227" s="22"/>
      <c r="U227" s="22"/>
      <c r="V227" s="22"/>
    </row>
    <row r="228" spans="2:22">
      <c r="B228" s="22"/>
      <c r="K228" s="22"/>
      <c r="M228" s="23"/>
      <c r="N228" s="23"/>
      <c r="O228" s="23"/>
      <c r="P228" s="23"/>
      <c r="Q228" s="23"/>
      <c r="R228" s="22"/>
      <c r="S228" s="22"/>
      <c r="T228" s="22"/>
      <c r="U228" s="22"/>
      <c r="V228" s="22"/>
    </row>
    <row r="229" spans="2:22">
      <c r="B229" s="22"/>
      <c r="K229" s="22"/>
      <c r="M229" s="23"/>
      <c r="N229" s="23"/>
      <c r="O229" s="23"/>
      <c r="P229" s="23"/>
      <c r="Q229" s="23"/>
      <c r="R229" s="22"/>
      <c r="S229" s="22"/>
      <c r="T229" s="22"/>
      <c r="U229" s="22"/>
      <c r="V229" s="22"/>
    </row>
    <row r="230" spans="2:22">
      <c r="B230" s="22"/>
      <c r="K230" s="22"/>
      <c r="M230" s="23"/>
      <c r="N230" s="23"/>
      <c r="O230" s="23"/>
      <c r="P230" s="23"/>
      <c r="Q230" s="23"/>
      <c r="R230" s="22"/>
      <c r="S230" s="22"/>
      <c r="T230" s="22"/>
      <c r="U230" s="22"/>
      <c r="V230" s="22"/>
    </row>
    <row r="231" spans="2:22">
      <c r="B231" s="22"/>
      <c r="K231" s="22"/>
      <c r="M231" s="23"/>
      <c r="N231" s="23"/>
      <c r="O231" s="23"/>
      <c r="P231" s="23"/>
      <c r="Q231" s="23"/>
      <c r="R231" s="22"/>
      <c r="S231" s="22"/>
      <c r="T231" s="22"/>
      <c r="U231" s="22"/>
      <c r="V231" s="22"/>
    </row>
    <row r="232" spans="2:22">
      <c r="B232" s="22"/>
      <c r="K232" s="22"/>
      <c r="M232" s="23"/>
      <c r="N232" s="23"/>
      <c r="O232" s="23"/>
      <c r="P232" s="23"/>
      <c r="Q232" s="23"/>
      <c r="R232" s="22"/>
      <c r="S232" s="22"/>
      <c r="T232" s="22"/>
      <c r="U232" s="22"/>
      <c r="V232" s="22"/>
    </row>
    <row r="233" spans="2:22">
      <c r="B233" s="22"/>
      <c r="K233" s="22"/>
      <c r="M233" s="23"/>
      <c r="N233" s="23"/>
      <c r="O233" s="23"/>
      <c r="P233" s="23"/>
      <c r="Q233" s="23"/>
      <c r="R233" s="22"/>
      <c r="S233" s="22"/>
      <c r="T233" s="22"/>
      <c r="U233" s="22"/>
      <c r="V233" s="22"/>
    </row>
    <row r="234" spans="2:22">
      <c r="B234" s="22"/>
      <c r="K234" s="22"/>
      <c r="M234" s="23"/>
      <c r="N234" s="23"/>
      <c r="O234" s="23"/>
      <c r="P234" s="23"/>
      <c r="Q234" s="23"/>
      <c r="R234" s="22"/>
      <c r="S234" s="22"/>
      <c r="T234" s="22"/>
      <c r="U234" s="22"/>
      <c r="V234" s="22"/>
    </row>
    <row r="235" spans="2:22">
      <c r="B235" s="22"/>
      <c r="K235" s="22"/>
      <c r="M235" s="23"/>
      <c r="N235" s="23"/>
      <c r="O235" s="23"/>
      <c r="P235" s="23"/>
      <c r="Q235" s="23"/>
      <c r="R235" s="22"/>
      <c r="S235" s="22"/>
      <c r="T235" s="22"/>
      <c r="U235" s="22"/>
      <c r="V235" s="22"/>
    </row>
    <row r="236" spans="2:22">
      <c r="B236" s="22"/>
      <c r="K236" s="22"/>
      <c r="M236" s="23"/>
      <c r="N236" s="23"/>
      <c r="O236" s="23"/>
      <c r="P236" s="23"/>
      <c r="Q236" s="23"/>
      <c r="R236" s="22"/>
      <c r="S236" s="22"/>
      <c r="T236" s="22"/>
      <c r="U236" s="22"/>
      <c r="V236" s="22"/>
    </row>
    <row r="237" spans="2:22">
      <c r="B237" s="22"/>
      <c r="K237" s="22"/>
      <c r="M237" s="23"/>
      <c r="N237" s="23"/>
      <c r="O237" s="23"/>
      <c r="P237" s="23"/>
      <c r="Q237" s="23"/>
      <c r="R237" s="22"/>
      <c r="S237" s="22"/>
      <c r="T237" s="22"/>
      <c r="U237" s="22"/>
      <c r="V237" s="22"/>
    </row>
    <row r="238" spans="2:22">
      <c r="B238" s="22"/>
      <c r="K238" s="22"/>
      <c r="M238" s="23"/>
      <c r="N238" s="23"/>
      <c r="O238" s="23"/>
      <c r="P238" s="23"/>
      <c r="Q238" s="23"/>
      <c r="R238" s="22"/>
      <c r="S238" s="22"/>
      <c r="T238" s="22"/>
      <c r="U238" s="22"/>
      <c r="V238" s="22"/>
    </row>
    <row r="239" spans="2:22">
      <c r="B239" s="22"/>
      <c r="K239" s="22"/>
      <c r="M239" s="23"/>
      <c r="N239" s="23"/>
      <c r="O239" s="23"/>
      <c r="P239" s="23"/>
      <c r="Q239" s="23"/>
      <c r="R239" s="22"/>
      <c r="S239" s="22"/>
      <c r="T239" s="22"/>
      <c r="U239" s="22"/>
      <c r="V239" s="22"/>
    </row>
    <row r="240" spans="2:22">
      <c r="B240" s="22"/>
      <c r="K240" s="22"/>
      <c r="M240" s="23"/>
      <c r="N240" s="23"/>
      <c r="O240" s="23"/>
      <c r="P240" s="23"/>
      <c r="Q240" s="23"/>
      <c r="R240" s="22"/>
      <c r="S240" s="22"/>
      <c r="T240" s="22"/>
      <c r="U240" s="22"/>
      <c r="V240" s="22"/>
    </row>
    <row r="241" spans="2:22">
      <c r="B241" s="22"/>
      <c r="K241" s="22"/>
      <c r="M241" s="23"/>
      <c r="N241" s="23"/>
      <c r="O241" s="23"/>
      <c r="P241" s="23"/>
      <c r="Q241" s="23"/>
      <c r="R241" s="22"/>
      <c r="S241" s="22"/>
      <c r="T241" s="22"/>
      <c r="U241" s="22"/>
      <c r="V241" s="22"/>
    </row>
    <row r="242" spans="2:22">
      <c r="B242" s="22"/>
      <c r="K242" s="22"/>
      <c r="M242" s="23"/>
      <c r="N242" s="23"/>
      <c r="O242" s="23"/>
      <c r="P242" s="23"/>
      <c r="Q242" s="23"/>
      <c r="R242" s="22"/>
      <c r="S242" s="22"/>
      <c r="T242" s="22"/>
      <c r="U242" s="22"/>
      <c r="V242" s="22"/>
    </row>
    <row r="243" spans="2:22">
      <c r="B243" s="22"/>
      <c r="K243" s="22"/>
      <c r="M243" s="23"/>
      <c r="N243" s="23"/>
      <c r="O243" s="23"/>
      <c r="P243" s="23"/>
      <c r="Q243" s="23"/>
      <c r="R243" s="22"/>
      <c r="S243" s="22"/>
      <c r="T243" s="22"/>
      <c r="U243" s="22"/>
      <c r="V243" s="22"/>
    </row>
    <row r="244" spans="2:22">
      <c r="B244" s="22"/>
      <c r="K244" s="22"/>
      <c r="M244" s="23"/>
      <c r="N244" s="23"/>
      <c r="O244" s="23"/>
      <c r="P244" s="23"/>
      <c r="Q244" s="23"/>
      <c r="R244" s="22"/>
      <c r="S244" s="22"/>
      <c r="T244" s="22"/>
      <c r="U244" s="22"/>
      <c r="V244" s="22"/>
    </row>
    <row r="245" spans="2:22">
      <c r="B245" s="22"/>
      <c r="K245" s="22"/>
      <c r="M245" s="23"/>
      <c r="N245" s="23"/>
      <c r="O245" s="23"/>
      <c r="P245" s="23"/>
      <c r="Q245" s="23"/>
      <c r="R245" s="22"/>
      <c r="S245" s="22"/>
      <c r="T245" s="22"/>
      <c r="U245" s="22"/>
      <c r="V245" s="22"/>
    </row>
    <row r="246" spans="2:22">
      <c r="B246" s="22"/>
      <c r="K246" s="22"/>
      <c r="M246" s="23"/>
      <c r="N246" s="23"/>
      <c r="O246" s="23"/>
      <c r="P246" s="23"/>
      <c r="Q246" s="23"/>
      <c r="R246" s="22"/>
      <c r="S246" s="22"/>
      <c r="T246" s="22"/>
      <c r="U246" s="22"/>
      <c r="V246" s="22"/>
    </row>
    <row r="247" spans="2:22">
      <c r="B247" s="22"/>
      <c r="K247" s="22"/>
      <c r="M247" s="23"/>
      <c r="N247" s="23"/>
      <c r="O247" s="23"/>
      <c r="P247" s="23"/>
      <c r="Q247" s="23"/>
      <c r="R247" s="22"/>
      <c r="S247" s="22"/>
      <c r="T247" s="22"/>
      <c r="U247" s="22"/>
      <c r="V247" s="22"/>
    </row>
    <row r="248" spans="2:22">
      <c r="B248" s="22"/>
      <c r="K248" s="22"/>
      <c r="M248" s="23"/>
      <c r="N248" s="23"/>
      <c r="O248" s="23"/>
      <c r="P248" s="23"/>
      <c r="Q248" s="23"/>
      <c r="R248" s="22"/>
      <c r="S248" s="22"/>
      <c r="T248" s="22"/>
      <c r="U248" s="22"/>
      <c r="V248" s="22"/>
    </row>
    <row r="249" spans="2:22">
      <c r="B249" s="22"/>
      <c r="K249" s="22"/>
      <c r="M249" s="23"/>
      <c r="N249" s="23"/>
      <c r="O249" s="23"/>
      <c r="P249" s="23"/>
      <c r="Q249" s="23"/>
      <c r="R249" s="22"/>
      <c r="S249" s="22"/>
      <c r="T249" s="22"/>
      <c r="U249" s="22"/>
      <c r="V249" s="22"/>
    </row>
    <row r="250" spans="2:22">
      <c r="B250" s="22"/>
      <c r="K250" s="22"/>
      <c r="M250" s="23"/>
      <c r="N250" s="23"/>
      <c r="O250" s="23"/>
      <c r="P250" s="23"/>
      <c r="Q250" s="23"/>
      <c r="R250" s="22"/>
      <c r="S250" s="22"/>
      <c r="T250" s="22"/>
      <c r="U250" s="22"/>
      <c r="V250" s="22"/>
    </row>
    <row r="251" spans="2:22">
      <c r="B251" s="22"/>
      <c r="K251" s="22"/>
      <c r="M251" s="23"/>
      <c r="N251" s="23"/>
      <c r="O251" s="23"/>
      <c r="P251" s="23"/>
      <c r="Q251" s="23"/>
      <c r="R251" s="22"/>
      <c r="S251" s="22"/>
      <c r="T251" s="22"/>
      <c r="U251" s="22"/>
      <c r="V251" s="22"/>
    </row>
    <row r="252" spans="2:22">
      <c r="B252" s="22"/>
      <c r="K252" s="22"/>
      <c r="M252" s="23"/>
      <c r="N252" s="23"/>
      <c r="O252" s="23"/>
      <c r="P252" s="23"/>
      <c r="Q252" s="23"/>
      <c r="R252" s="22"/>
      <c r="S252" s="22"/>
      <c r="T252" s="22"/>
      <c r="U252" s="22"/>
      <c r="V252" s="22"/>
    </row>
    <row r="253" spans="2:22">
      <c r="B253" s="22"/>
      <c r="K253" s="22"/>
      <c r="M253" s="23"/>
      <c r="N253" s="23"/>
      <c r="O253" s="23"/>
      <c r="P253" s="23"/>
      <c r="Q253" s="23"/>
      <c r="R253" s="22"/>
      <c r="S253" s="22"/>
      <c r="T253" s="22"/>
      <c r="U253" s="22"/>
      <c r="V253" s="22"/>
    </row>
    <row r="254" spans="2:22">
      <c r="B254" s="22"/>
      <c r="K254" s="22"/>
      <c r="M254" s="23"/>
      <c r="N254" s="23"/>
      <c r="O254" s="23"/>
      <c r="P254" s="23"/>
      <c r="Q254" s="23"/>
      <c r="R254" s="22"/>
      <c r="S254" s="22"/>
      <c r="T254" s="22"/>
      <c r="U254" s="22"/>
      <c r="V254" s="22"/>
    </row>
    <row r="255" spans="2:22">
      <c r="B255" s="22"/>
      <c r="K255" s="22"/>
      <c r="M255" s="23"/>
      <c r="N255" s="23"/>
      <c r="O255" s="23"/>
      <c r="P255" s="23"/>
      <c r="Q255" s="23"/>
      <c r="R255" s="22"/>
      <c r="S255" s="22"/>
      <c r="T255" s="22"/>
      <c r="U255" s="22"/>
      <c r="V255" s="22"/>
    </row>
    <row r="256" spans="2:22">
      <c r="B256" s="22"/>
      <c r="K256" s="22"/>
      <c r="M256" s="23"/>
      <c r="N256" s="23"/>
      <c r="O256" s="23"/>
      <c r="P256" s="23"/>
      <c r="Q256" s="23"/>
      <c r="R256" s="22"/>
      <c r="S256" s="22"/>
      <c r="T256" s="22"/>
      <c r="U256" s="22"/>
      <c r="V256" s="22"/>
    </row>
    <row r="257" spans="2:22">
      <c r="B257" s="22"/>
      <c r="K257" s="22"/>
      <c r="M257" s="23"/>
      <c r="N257" s="23"/>
      <c r="O257" s="23"/>
      <c r="P257" s="23"/>
      <c r="Q257" s="23"/>
      <c r="R257" s="22"/>
      <c r="S257" s="22"/>
      <c r="T257" s="22"/>
      <c r="U257" s="22"/>
      <c r="V257" s="22"/>
    </row>
    <row r="258" spans="2:22">
      <c r="B258" s="22"/>
      <c r="K258" s="22"/>
      <c r="M258" s="23"/>
      <c r="N258" s="23"/>
      <c r="O258" s="23"/>
      <c r="P258" s="23"/>
      <c r="Q258" s="23"/>
      <c r="R258" s="22"/>
      <c r="S258" s="22"/>
      <c r="T258" s="22"/>
      <c r="U258" s="22"/>
      <c r="V258" s="22"/>
    </row>
    <row r="259" spans="2:22">
      <c r="B259" s="22"/>
      <c r="K259" s="22"/>
      <c r="M259" s="23"/>
      <c r="N259" s="23"/>
      <c r="O259" s="23"/>
      <c r="P259" s="23"/>
      <c r="Q259" s="23"/>
      <c r="R259" s="22"/>
      <c r="S259" s="22"/>
      <c r="T259" s="22"/>
      <c r="U259" s="22"/>
      <c r="V259" s="22"/>
    </row>
    <row r="260" spans="2:22">
      <c r="B260" s="22"/>
      <c r="K260" s="22"/>
      <c r="M260" s="23"/>
      <c r="N260" s="23"/>
      <c r="O260" s="23"/>
      <c r="P260" s="23"/>
      <c r="Q260" s="23"/>
      <c r="R260" s="22"/>
      <c r="S260" s="22"/>
      <c r="T260" s="22"/>
      <c r="U260" s="22"/>
      <c r="V260" s="22"/>
    </row>
    <row r="261" spans="2:22">
      <c r="B261" s="22"/>
      <c r="K261" s="22"/>
      <c r="M261" s="23"/>
      <c r="N261" s="23"/>
      <c r="O261" s="23"/>
      <c r="P261" s="23"/>
      <c r="Q261" s="23"/>
      <c r="R261" s="22"/>
      <c r="S261" s="22"/>
      <c r="T261" s="22"/>
      <c r="U261" s="22"/>
      <c r="V261" s="22"/>
    </row>
    <row r="262" spans="2:22">
      <c r="B262" s="22"/>
      <c r="K262" s="22"/>
      <c r="M262" s="23"/>
      <c r="N262" s="23"/>
      <c r="O262" s="23"/>
      <c r="P262" s="23"/>
      <c r="Q262" s="23"/>
      <c r="R262" s="22"/>
      <c r="S262" s="22"/>
      <c r="T262" s="22"/>
      <c r="U262" s="22"/>
      <c r="V262" s="22"/>
    </row>
    <row r="263" spans="2:22">
      <c r="B263" s="22"/>
      <c r="K263" s="22"/>
      <c r="M263" s="23"/>
      <c r="N263" s="23"/>
      <c r="O263" s="23"/>
      <c r="P263" s="23"/>
      <c r="Q263" s="23"/>
      <c r="R263" s="22"/>
      <c r="S263" s="22"/>
      <c r="T263" s="22"/>
      <c r="U263" s="22"/>
      <c r="V263" s="22"/>
    </row>
    <row r="264" spans="2:22">
      <c r="B264" s="22"/>
      <c r="K264" s="22"/>
      <c r="M264" s="23"/>
      <c r="N264" s="23"/>
      <c r="O264" s="23"/>
      <c r="P264" s="23"/>
      <c r="Q264" s="23"/>
      <c r="R264" s="22"/>
      <c r="S264" s="22"/>
      <c r="T264" s="22"/>
      <c r="U264" s="22"/>
      <c r="V264" s="22"/>
    </row>
    <row r="265" spans="2:22">
      <c r="B265" s="22"/>
      <c r="K265" s="22"/>
      <c r="M265" s="23"/>
      <c r="N265" s="23"/>
      <c r="O265" s="23"/>
      <c r="P265" s="23"/>
      <c r="Q265" s="23"/>
      <c r="R265" s="22"/>
      <c r="S265" s="22"/>
      <c r="T265" s="22"/>
      <c r="U265" s="22"/>
      <c r="V265" s="22"/>
    </row>
    <row r="266" spans="2:22">
      <c r="B266" s="22"/>
      <c r="K266" s="22"/>
      <c r="M266" s="23"/>
      <c r="N266" s="23"/>
      <c r="O266" s="23"/>
      <c r="P266" s="23"/>
      <c r="Q266" s="23"/>
      <c r="R266" s="22"/>
      <c r="S266" s="22"/>
      <c r="T266" s="22"/>
      <c r="U266" s="22"/>
      <c r="V266" s="22"/>
    </row>
    <row r="267" spans="2:22">
      <c r="B267" s="22"/>
      <c r="K267" s="22"/>
      <c r="M267" s="23"/>
      <c r="N267" s="23"/>
      <c r="O267" s="23"/>
      <c r="P267" s="23"/>
      <c r="Q267" s="23"/>
      <c r="R267" s="22"/>
      <c r="S267" s="22"/>
      <c r="T267" s="22"/>
      <c r="U267" s="22"/>
      <c r="V267" s="22"/>
    </row>
    <row r="268" spans="2:22">
      <c r="B268" s="22"/>
      <c r="K268" s="22"/>
      <c r="M268" s="23"/>
      <c r="N268" s="23"/>
      <c r="O268" s="23"/>
      <c r="P268" s="23"/>
      <c r="Q268" s="23"/>
      <c r="R268" s="22"/>
      <c r="S268" s="22"/>
      <c r="T268" s="22"/>
      <c r="U268" s="22"/>
      <c r="V268" s="22"/>
    </row>
    <row r="269" spans="2:22">
      <c r="B269" s="22"/>
      <c r="K269" s="22"/>
      <c r="M269" s="23"/>
      <c r="N269" s="23"/>
      <c r="O269" s="23"/>
      <c r="P269" s="23"/>
      <c r="Q269" s="23"/>
      <c r="R269" s="22"/>
      <c r="S269" s="22"/>
      <c r="T269" s="22"/>
      <c r="U269" s="22"/>
      <c r="V269" s="22"/>
    </row>
    <row r="270" spans="2:22">
      <c r="B270" s="22"/>
      <c r="K270" s="22"/>
      <c r="M270" s="23"/>
      <c r="N270" s="23"/>
      <c r="O270" s="23"/>
      <c r="P270" s="23"/>
      <c r="Q270" s="23"/>
      <c r="R270" s="22"/>
      <c r="S270" s="22"/>
      <c r="T270" s="22"/>
      <c r="U270" s="22"/>
      <c r="V270" s="22"/>
    </row>
    <row r="271" spans="2:22">
      <c r="B271" s="22"/>
      <c r="K271" s="22"/>
      <c r="M271" s="23"/>
      <c r="N271" s="23"/>
      <c r="O271" s="23"/>
      <c r="P271" s="23"/>
      <c r="Q271" s="23"/>
      <c r="R271" s="22"/>
      <c r="S271" s="22"/>
      <c r="T271" s="22"/>
      <c r="U271" s="22"/>
      <c r="V271" s="22"/>
    </row>
    <row r="272" spans="2:22">
      <c r="B272" s="22"/>
      <c r="K272" s="22"/>
      <c r="M272" s="23"/>
      <c r="N272" s="23"/>
      <c r="O272" s="23"/>
      <c r="P272" s="23"/>
      <c r="Q272" s="23"/>
      <c r="R272" s="22"/>
      <c r="S272" s="22"/>
      <c r="T272" s="22"/>
      <c r="U272" s="22"/>
      <c r="V272" s="22"/>
    </row>
    <row r="273" spans="2:22">
      <c r="B273" s="22"/>
      <c r="K273" s="22"/>
      <c r="M273" s="23"/>
      <c r="N273" s="23"/>
      <c r="O273" s="23"/>
      <c r="P273" s="23"/>
      <c r="Q273" s="23"/>
      <c r="R273" s="22"/>
      <c r="S273" s="22"/>
      <c r="T273" s="22"/>
      <c r="U273" s="22"/>
      <c r="V273" s="22"/>
    </row>
    <row r="274" spans="2:22">
      <c r="B274" s="22"/>
      <c r="K274" s="22"/>
      <c r="M274" s="23"/>
      <c r="N274" s="23"/>
      <c r="O274" s="23"/>
      <c r="P274" s="23"/>
      <c r="Q274" s="23"/>
      <c r="R274" s="22"/>
      <c r="S274" s="22"/>
      <c r="T274" s="22"/>
      <c r="U274" s="22"/>
      <c r="V274" s="22"/>
    </row>
    <row r="275" spans="2:22">
      <c r="B275" s="22"/>
      <c r="K275" s="22"/>
      <c r="M275" s="23"/>
      <c r="N275" s="23"/>
      <c r="O275" s="23"/>
      <c r="P275" s="23"/>
      <c r="Q275" s="23"/>
      <c r="R275" s="22"/>
      <c r="S275" s="22"/>
      <c r="T275" s="22"/>
      <c r="U275" s="22"/>
      <c r="V275" s="22"/>
    </row>
    <row r="276" spans="2:22">
      <c r="B276" s="22"/>
      <c r="K276" s="22"/>
      <c r="M276" s="23"/>
      <c r="N276" s="23"/>
      <c r="O276" s="23"/>
      <c r="P276" s="23"/>
      <c r="Q276" s="23"/>
      <c r="R276" s="22"/>
      <c r="S276" s="22"/>
      <c r="T276" s="22"/>
      <c r="U276" s="22"/>
      <c r="V276" s="22"/>
    </row>
    <row r="277" spans="2:22">
      <c r="B277" s="22"/>
      <c r="K277" s="22"/>
      <c r="M277" s="23"/>
      <c r="N277" s="23"/>
      <c r="O277" s="23"/>
      <c r="P277" s="23"/>
      <c r="Q277" s="23"/>
      <c r="R277" s="22"/>
      <c r="S277" s="22"/>
      <c r="T277" s="22"/>
      <c r="U277" s="22"/>
      <c r="V277" s="22"/>
    </row>
    <row r="278" spans="2:22">
      <c r="B278" s="22"/>
      <c r="K278" s="22"/>
      <c r="M278" s="23"/>
      <c r="N278" s="23"/>
      <c r="O278" s="23"/>
      <c r="P278" s="23"/>
      <c r="Q278" s="23"/>
      <c r="R278" s="22"/>
      <c r="S278" s="22"/>
      <c r="T278" s="22"/>
      <c r="U278" s="22"/>
      <c r="V278" s="22"/>
    </row>
    <row r="279" spans="2:22">
      <c r="B279" s="22"/>
      <c r="K279" s="22"/>
      <c r="M279" s="23"/>
      <c r="N279" s="23"/>
      <c r="O279" s="23"/>
      <c r="P279" s="23"/>
      <c r="Q279" s="23"/>
      <c r="R279" s="22"/>
      <c r="S279" s="22"/>
      <c r="T279" s="22"/>
      <c r="U279" s="22"/>
      <c r="V279" s="22"/>
    </row>
    <row r="280" spans="2:22">
      <c r="B280" s="22"/>
      <c r="K280" s="22"/>
      <c r="M280" s="23"/>
      <c r="N280" s="23"/>
      <c r="O280" s="23"/>
      <c r="P280" s="23"/>
      <c r="Q280" s="23"/>
      <c r="R280" s="22"/>
      <c r="S280" s="22"/>
      <c r="T280" s="22"/>
      <c r="U280" s="22"/>
      <c r="V280" s="22"/>
    </row>
    <row r="281" spans="2:22">
      <c r="B281" s="22"/>
      <c r="K281" s="22"/>
      <c r="M281" s="23"/>
      <c r="N281" s="23"/>
      <c r="O281" s="23"/>
      <c r="P281" s="23"/>
      <c r="Q281" s="23"/>
      <c r="R281" s="22"/>
      <c r="S281" s="22"/>
      <c r="T281" s="22"/>
      <c r="U281" s="22"/>
      <c r="V281" s="22"/>
    </row>
    <row r="282" spans="2:22">
      <c r="B282" s="22"/>
      <c r="K282" s="22"/>
      <c r="M282" s="23"/>
      <c r="N282" s="23"/>
      <c r="O282" s="23"/>
      <c r="P282" s="23"/>
      <c r="Q282" s="23"/>
      <c r="R282" s="22"/>
      <c r="S282" s="22"/>
      <c r="T282" s="22"/>
      <c r="U282" s="22"/>
      <c r="V282" s="22"/>
    </row>
    <row r="283" spans="2:22">
      <c r="B283" s="22"/>
      <c r="K283" s="22"/>
      <c r="M283" s="23"/>
      <c r="N283" s="23"/>
      <c r="O283" s="23"/>
      <c r="P283" s="23"/>
      <c r="Q283" s="23"/>
      <c r="R283" s="22"/>
      <c r="S283" s="22"/>
      <c r="T283" s="22"/>
      <c r="U283" s="22"/>
      <c r="V283" s="22"/>
    </row>
    <row r="284" spans="2:22">
      <c r="B284" s="22"/>
      <c r="K284" s="22"/>
      <c r="M284" s="23"/>
      <c r="N284" s="23"/>
      <c r="O284" s="23"/>
      <c r="P284" s="23"/>
      <c r="Q284" s="23"/>
      <c r="R284" s="22"/>
      <c r="S284" s="22"/>
      <c r="T284" s="22"/>
      <c r="U284" s="22"/>
      <c r="V284" s="22"/>
    </row>
    <row r="285" spans="2:22">
      <c r="B285" s="22"/>
      <c r="K285" s="22"/>
      <c r="M285" s="23"/>
      <c r="N285" s="23"/>
      <c r="O285" s="23"/>
      <c r="P285" s="23"/>
      <c r="Q285" s="23"/>
      <c r="R285" s="22"/>
      <c r="S285" s="22"/>
      <c r="T285" s="22"/>
      <c r="U285" s="22"/>
      <c r="V285" s="22"/>
    </row>
    <row r="286" spans="2:22">
      <c r="B286" s="22"/>
      <c r="K286" s="22"/>
      <c r="M286" s="23"/>
      <c r="N286" s="23"/>
      <c r="O286" s="23"/>
      <c r="P286" s="23"/>
      <c r="Q286" s="23"/>
      <c r="R286" s="22"/>
      <c r="S286" s="22"/>
      <c r="T286" s="22"/>
      <c r="U286" s="22"/>
      <c r="V286" s="22"/>
    </row>
    <row r="287" spans="2:22">
      <c r="B287" s="22"/>
      <c r="K287" s="22"/>
      <c r="M287" s="23"/>
      <c r="N287" s="23"/>
      <c r="O287" s="23"/>
      <c r="P287" s="23"/>
      <c r="Q287" s="23"/>
      <c r="R287" s="22"/>
      <c r="S287" s="22"/>
      <c r="T287" s="22"/>
      <c r="U287" s="22"/>
      <c r="V287" s="22"/>
    </row>
    <row r="288" spans="2:22">
      <c r="B288" s="22"/>
      <c r="K288" s="22"/>
      <c r="M288" s="23"/>
      <c r="N288" s="23"/>
      <c r="O288" s="23"/>
      <c r="P288" s="23"/>
      <c r="Q288" s="23"/>
      <c r="R288" s="22"/>
      <c r="S288" s="22"/>
      <c r="T288" s="22"/>
      <c r="U288" s="22"/>
      <c r="V288" s="22"/>
    </row>
    <row r="289" spans="2:22">
      <c r="B289" s="22"/>
      <c r="K289" s="22"/>
      <c r="M289" s="23"/>
      <c r="N289" s="23"/>
      <c r="O289" s="23"/>
      <c r="P289" s="23"/>
      <c r="Q289" s="23"/>
      <c r="R289" s="22"/>
      <c r="S289" s="22"/>
      <c r="T289" s="22"/>
      <c r="U289" s="22"/>
      <c r="V289" s="22"/>
    </row>
    <row r="290" spans="2:22">
      <c r="B290" s="22"/>
      <c r="K290" s="22"/>
      <c r="M290" s="23"/>
      <c r="N290" s="23"/>
      <c r="O290" s="23"/>
      <c r="P290" s="23"/>
      <c r="Q290" s="23"/>
      <c r="R290" s="22"/>
      <c r="S290" s="22"/>
      <c r="T290" s="22"/>
      <c r="U290" s="22"/>
      <c r="V290" s="22"/>
    </row>
    <row r="291" spans="2:22">
      <c r="B291" s="22"/>
      <c r="K291" s="22"/>
      <c r="M291" s="23"/>
      <c r="N291" s="23"/>
      <c r="O291" s="23"/>
      <c r="P291" s="23"/>
      <c r="Q291" s="23"/>
      <c r="R291" s="22"/>
      <c r="S291" s="22"/>
      <c r="T291" s="22"/>
      <c r="U291" s="22"/>
      <c r="V291" s="22"/>
    </row>
    <row r="292" spans="2:22">
      <c r="B292" s="22"/>
      <c r="K292" s="22"/>
      <c r="M292" s="23"/>
      <c r="N292" s="23"/>
      <c r="O292" s="23"/>
      <c r="P292" s="23"/>
      <c r="Q292" s="23"/>
      <c r="R292" s="22"/>
      <c r="S292" s="22"/>
      <c r="T292" s="22"/>
      <c r="U292" s="22"/>
      <c r="V292" s="22"/>
    </row>
    <row r="293" spans="2:22">
      <c r="B293" s="22"/>
      <c r="K293" s="22"/>
      <c r="M293" s="23"/>
      <c r="N293" s="23"/>
      <c r="O293" s="23"/>
      <c r="P293" s="23"/>
      <c r="Q293" s="23"/>
      <c r="R293" s="22"/>
      <c r="S293" s="22"/>
      <c r="T293" s="22"/>
      <c r="U293" s="22"/>
      <c r="V293" s="22"/>
    </row>
    <row r="294" spans="2:22">
      <c r="B294" s="22"/>
      <c r="K294" s="22"/>
      <c r="M294" s="23"/>
      <c r="N294" s="23"/>
      <c r="O294" s="23"/>
      <c r="P294" s="23"/>
      <c r="Q294" s="23"/>
      <c r="R294" s="22"/>
      <c r="S294" s="22"/>
      <c r="T294" s="22"/>
      <c r="U294" s="22"/>
      <c r="V294" s="22"/>
    </row>
    <row r="295" spans="2:22">
      <c r="B295" s="22"/>
      <c r="K295" s="22"/>
      <c r="M295" s="23"/>
      <c r="N295" s="23"/>
      <c r="O295" s="23"/>
      <c r="P295" s="23"/>
      <c r="Q295" s="23"/>
      <c r="R295" s="22"/>
      <c r="S295" s="22"/>
      <c r="T295" s="22"/>
      <c r="U295" s="22"/>
      <c r="V295" s="22"/>
    </row>
    <row r="296" spans="2:22">
      <c r="B296" s="22"/>
      <c r="K296" s="22"/>
      <c r="M296" s="23"/>
      <c r="N296" s="23"/>
      <c r="O296" s="23"/>
      <c r="P296" s="23"/>
      <c r="Q296" s="23"/>
      <c r="R296" s="22"/>
      <c r="S296" s="22"/>
      <c r="T296" s="22"/>
      <c r="U296" s="22"/>
      <c r="V296" s="22"/>
    </row>
    <row r="297" spans="2:22">
      <c r="B297" s="22"/>
      <c r="K297" s="22"/>
      <c r="M297" s="23"/>
      <c r="N297" s="23"/>
      <c r="O297" s="23"/>
      <c r="P297" s="23"/>
      <c r="Q297" s="23"/>
      <c r="R297" s="22"/>
      <c r="S297" s="22"/>
      <c r="T297" s="22"/>
      <c r="U297" s="22"/>
      <c r="V297" s="22"/>
    </row>
    <row r="298" spans="2:22">
      <c r="B298" s="22"/>
      <c r="K298" s="22"/>
      <c r="M298" s="23"/>
      <c r="N298" s="23"/>
      <c r="O298" s="23"/>
      <c r="P298" s="23"/>
      <c r="Q298" s="23"/>
      <c r="R298" s="22"/>
      <c r="S298" s="22"/>
      <c r="T298" s="22"/>
      <c r="U298" s="22"/>
      <c r="V298" s="22"/>
    </row>
    <row r="299" spans="2:22">
      <c r="B299" s="22"/>
      <c r="K299" s="22"/>
      <c r="M299" s="23"/>
      <c r="N299" s="23"/>
      <c r="O299" s="23"/>
      <c r="P299" s="23"/>
      <c r="Q299" s="23"/>
      <c r="R299" s="22"/>
      <c r="S299" s="22"/>
      <c r="T299" s="22"/>
      <c r="U299" s="22"/>
      <c r="V299" s="22"/>
    </row>
    <row r="300" spans="2:22">
      <c r="B300" s="22"/>
      <c r="K300" s="22"/>
      <c r="M300" s="23"/>
      <c r="N300" s="23"/>
      <c r="O300" s="23"/>
      <c r="P300" s="23"/>
      <c r="Q300" s="23"/>
      <c r="R300" s="22"/>
      <c r="S300" s="22"/>
      <c r="T300" s="22"/>
      <c r="U300" s="22"/>
      <c r="V300" s="22"/>
    </row>
    <row r="301" spans="2:22">
      <c r="B301" s="22"/>
      <c r="K301" s="22"/>
      <c r="M301" s="23"/>
      <c r="N301" s="23"/>
      <c r="O301" s="23"/>
      <c r="P301" s="23"/>
      <c r="Q301" s="23"/>
      <c r="R301" s="22"/>
      <c r="S301" s="22"/>
      <c r="T301" s="22"/>
      <c r="U301" s="22"/>
      <c r="V301" s="22"/>
    </row>
    <row r="302" spans="2:22">
      <c r="B302" s="22"/>
      <c r="K302" s="22"/>
      <c r="M302" s="23"/>
      <c r="N302" s="23"/>
      <c r="O302" s="23"/>
      <c r="P302" s="23"/>
      <c r="Q302" s="23"/>
      <c r="R302" s="22"/>
      <c r="S302" s="22"/>
      <c r="T302" s="22"/>
      <c r="U302" s="22"/>
      <c r="V302" s="22"/>
    </row>
    <row r="303" spans="2:22">
      <c r="B303" s="22"/>
      <c r="K303" s="22"/>
      <c r="M303" s="23"/>
      <c r="N303" s="23"/>
      <c r="O303" s="23"/>
      <c r="P303" s="23"/>
      <c r="Q303" s="23"/>
      <c r="R303" s="22"/>
      <c r="S303" s="22"/>
      <c r="T303" s="22"/>
      <c r="U303" s="22"/>
      <c r="V303" s="22"/>
    </row>
    <row r="304" spans="2:22">
      <c r="B304" s="22"/>
      <c r="K304" s="22"/>
      <c r="M304" s="23"/>
      <c r="N304" s="23"/>
      <c r="O304" s="23"/>
      <c r="P304" s="23"/>
      <c r="Q304" s="23"/>
      <c r="R304" s="22"/>
      <c r="S304" s="22"/>
      <c r="T304" s="22"/>
      <c r="U304" s="22"/>
      <c r="V304" s="22"/>
    </row>
    <row r="305" spans="2:22">
      <c r="B305" s="22"/>
      <c r="K305" s="22"/>
      <c r="M305" s="23"/>
      <c r="N305" s="23"/>
      <c r="O305" s="23"/>
      <c r="P305" s="23"/>
      <c r="Q305" s="23"/>
      <c r="R305" s="22"/>
      <c r="S305" s="22"/>
      <c r="T305" s="22"/>
      <c r="U305" s="22"/>
      <c r="V305" s="22"/>
    </row>
    <row r="306" spans="2:22">
      <c r="B306" s="22"/>
      <c r="K306" s="22"/>
      <c r="M306" s="23"/>
      <c r="N306" s="23"/>
      <c r="O306" s="23"/>
      <c r="P306" s="23"/>
      <c r="Q306" s="23"/>
      <c r="R306" s="22"/>
      <c r="S306" s="22"/>
      <c r="T306" s="22"/>
      <c r="U306" s="22"/>
      <c r="V306" s="22"/>
    </row>
    <row r="307" spans="2:22">
      <c r="B307" s="22"/>
      <c r="K307" s="22"/>
      <c r="M307" s="23"/>
      <c r="N307" s="23"/>
      <c r="O307" s="23"/>
      <c r="P307" s="23"/>
      <c r="Q307" s="23"/>
      <c r="R307" s="22"/>
      <c r="S307" s="22"/>
      <c r="T307" s="22"/>
      <c r="U307" s="22"/>
      <c r="V307" s="22"/>
    </row>
    <row r="308" spans="2:22">
      <c r="B308" s="22"/>
      <c r="K308" s="22"/>
      <c r="M308" s="23"/>
      <c r="N308" s="23"/>
      <c r="O308" s="23"/>
      <c r="P308" s="23"/>
      <c r="Q308" s="23"/>
      <c r="R308" s="22"/>
      <c r="S308" s="22"/>
      <c r="T308" s="22"/>
      <c r="U308" s="22"/>
      <c r="V308" s="22"/>
    </row>
    <row r="309" spans="2:22">
      <c r="B309" s="22"/>
      <c r="K309" s="22"/>
      <c r="M309" s="23"/>
      <c r="N309" s="23"/>
      <c r="O309" s="23"/>
      <c r="P309" s="23"/>
      <c r="Q309" s="23"/>
      <c r="R309" s="22"/>
      <c r="S309" s="22"/>
      <c r="T309" s="22"/>
      <c r="U309" s="22"/>
      <c r="V309" s="22"/>
    </row>
    <row r="310" spans="2:22">
      <c r="B310" s="22"/>
      <c r="K310" s="22"/>
      <c r="M310" s="23"/>
      <c r="N310" s="23"/>
      <c r="O310" s="23"/>
      <c r="P310" s="23"/>
      <c r="Q310" s="23"/>
      <c r="R310" s="22"/>
      <c r="S310" s="22"/>
      <c r="T310" s="22"/>
      <c r="U310" s="22"/>
      <c r="V310" s="22"/>
    </row>
    <row r="311" spans="2:22">
      <c r="B311" s="22"/>
      <c r="K311" s="22"/>
      <c r="M311" s="23"/>
      <c r="N311" s="23"/>
      <c r="O311" s="23"/>
      <c r="P311" s="23"/>
      <c r="Q311" s="23"/>
      <c r="R311" s="22"/>
      <c r="S311" s="22"/>
      <c r="T311" s="22"/>
      <c r="U311" s="22"/>
      <c r="V311" s="22"/>
    </row>
    <row r="312" spans="2:22">
      <c r="B312" s="22"/>
      <c r="K312" s="22"/>
      <c r="M312" s="23"/>
      <c r="N312" s="23"/>
      <c r="O312" s="23"/>
      <c r="P312" s="23"/>
      <c r="Q312" s="23"/>
      <c r="R312" s="22"/>
      <c r="S312" s="22"/>
      <c r="T312" s="22"/>
      <c r="U312" s="22"/>
      <c r="V312" s="22"/>
    </row>
    <row r="313" spans="2:22">
      <c r="B313" s="22"/>
      <c r="K313" s="22"/>
      <c r="M313" s="23"/>
      <c r="N313" s="23"/>
      <c r="O313" s="23"/>
      <c r="P313" s="23"/>
      <c r="Q313" s="23"/>
      <c r="R313" s="22"/>
      <c r="S313" s="22"/>
      <c r="T313" s="22"/>
      <c r="U313" s="22"/>
      <c r="V313" s="22"/>
    </row>
    <row r="314" spans="2:22">
      <c r="B314" s="22"/>
      <c r="K314" s="22"/>
      <c r="M314" s="23"/>
      <c r="N314" s="23"/>
      <c r="O314" s="23"/>
      <c r="P314" s="23"/>
      <c r="Q314" s="23"/>
      <c r="R314" s="22"/>
      <c r="S314" s="22"/>
      <c r="T314" s="22"/>
      <c r="U314" s="22"/>
      <c r="V314" s="22"/>
    </row>
    <row r="315" spans="2:22">
      <c r="B315" s="22"/>
      <c r="K315" s="22"/>
      <c r="M315" s="23"/>
      <c r="N315" s="23"/>
      <c r="O315" s="23"/>
      <c r="P315" s="23"/>
      <c r="Q315" s="23"/>
      <c r="R315" s="22"/>
      <c r="S315" s="22"/>
      <c r="T315" s="22"/>
      <c r="U315" s="22"/>
      <c r="V315" s="22"/>
    </row>
    <row r="316" spans="2:22">
      <c r="B316" s="22"/>
      <c r="K316" s="22"/>
      <c r="M316" s="23"/>
      <c r="N316" s="23"/>
      <c r="O316" s="23"/>
      <c r="P316" s="23"/>
      <c r="Q316" s="23"/>
      <c r="R316" s="22"/>
      <c r="S316" s="22"/>
      <c r="T316" s="22"/>
      <c r="U316" s="22"/>
      <c r="V316" s="22"/>
    </row>
    <row r="317" spans="2:22">
      <c r="B317" s="22"/>
      <c r="K317" s="22"/>
      <c r="M317" s="23"/>
      <c r="N317" s="23"/>
      <c r="O317" s="23"/>
      <c r="P317" s="23"/>
      <c r="Q317" s="23"/>
      <c r="R317" s="22"/>
      <c r="S317" s="22"/>
      <c r="T317" s="22"/>
      <c r="U317" s="22"/>
      <c r="V317" s="22"/>
    </row>
    <row r="318" spans="2:22">
      <c r="B318" s="22"/>
      <c r="K318" s="22"/>
      <c r="M318" s="23"/>
      <c r="N318" s="23"/>
      <c r="O318" s="23"/>
      <c r="P318" s="23"/>
      <c r="Q318" s="23"/>
      <c r="R318" s="22"/>
      <c r="S318" s="22"/>
      <c r="T318" s="22"/>
      <c r="U318" s="22"/>
      <c r="V318" s="22"/>
    </row>
    <row r="319" spans="2:22">
      <c r="B319" s="22"/>
      <c r="K319" s="22"/>
      <c r="M319" s="23"/>
      <c r="N319" s="23"/>
      <c r="O319" s="23"/>
      <c r="P319" s="23"/>
      <c r="Q319" s="23"/>
      <c r="R319" s="22"/>
      <c r="S319" s="22"/>
      <c r="T319" s="22"/>
      <c r="U319" s="22"/>
      <c r="V319" s="22"/>
    </row>
    <row r="320" spans="2:22">
      <c r="B320" s="22"/>
      <c r="K320" s="22"/>
      <c r="M320" s="23"/>
      <c r="N320" s="23"/>
      <c r="O320" s="23"/>
      <c r="P320" s="23"/>
      <c r="Q320" s="23"/>
      <c r="R320" s="22"/>
      <c r="S320" s="22"/>
      <c r="T320" s="22"/>
      <c r="U320" s="22"/>
      <c r="V320" s="22"/>
    </row>
    <row r="321" spans="2:22">
      <c r="B321" s="22"/>
      <c r="K321" s="22"/>
      <c r="M321" s="23"/>
      <c r="N321" s="23"/>
      <c r="O321" s="23"/>
      <c r="P321" s="23"/>
      <c r="Q321" s="23"/>
      <c r="R321" s="22"/>
      <c r="S321" s="22"/>
      <c r="T321" s="22"/>
      <c r="U321" s="22"/>
      <c r="V321" s="22"/>
    </row>
    <row r="322" spans="2:22">
      <c r="B322" s="22"/>
      <c r="K322" s="22"/>
      <c r="M322" s="23"/>
      <c r="N322" s="23"/>
      <c r="O322" s="23"/>
      <c r="P322" s="23"/>
      <c r="Q322" s="23"/>
      <c r="R322" s="22"/>
      <c r="S322" s="22"/>
      <c r="T322" s="22"/>
      <c r="U322" s="22"/>
      <c r="V322" s="22"/>
    </row>
    <row r="323" spans="2:22">
      <c r="B323" s="22"/>
      <c r="K323" s="22"/>
      <c r="M323" s="23"/>
      <c r="N323" s="23"/>
      <c r="O323" s="23"/>
      <c r="P323" s="23"/>
      <c r="Q323" s="23"/>
      <c r="R323" s="22"/>
      <c r="S323" s="22"/>
      <c r="T323" s="22"/>
      <c r="U323" s="22"/>
      <c r="V323" s="22"/>
    </row>
    <row r="324" spans="2:22">
      <c r="B324" s="22"/>
      <c r="K324" s="22"/>
      <c r="M324" s="23"/>
      <c r="N324" s="23"/>
      <c r="O324" s="23"/>
      <c r="P324" s="23"/>
      <c r="Q324" s="23"/>
      <c r="R324" s="22"/>
      <c r="S324" s="22"/>
      <c r="T324" s="22"/>
      <c r="U324" s="22"/>
      <c r="V324" s="22"/>
    </row>
    <row r="325" spans="2:22">
      <c r="B325" s="22"/>
      <c r="K325" s="22"/>
      <c r="M325" s="23"/>
      <c r="N325" s="23"/>
      <c r="O325" s="23"/>
      <c r="P325" s="23"/>
      <c r="Q325" s="23"/>
      <c r="R325" s="22"/>
      <c r="S325" s="22"/>
      <c r="T325" s="22"/>
      <c r="U325" s="22"/>
      <c r="V325" s="22"/>
    </row>
    <row r="326" spans="2:22">
      <c r="B326" s="22"/>
      <c r="K326" s="22"/>
      <c r="M326" s="23"/>
      <c r="N326" s="23"/>
      <c r="O326" s="23"/>
      <c r="P326" s="23"/>
      <c r="Q326" s="23"/>
      <c r="R326" s="22"/>
      <c r="S326" s="22"/>
      <c r="T326" s="22"/>
      <c r="U326" s="22"/>
      <c r="V326" s="22"/>
    </row>
    <row r="327" spans="2:22">
      <c r="B327" s="22"/>
      <c r="K327" s="22"/>
      <c r="M327" s="23"/>
      <c r="N327" s="23"/>
      <c r="O327" s="23"/>
      <c r="P327" s="23"/>
      <c r="Q327" s="23"/>
      <c r="R327" s="22"/>
      <c r="S327" s="22"/>
      <c r="T327" s="22"/>
      <c r="U327" s="22"/>
      <c r="V327" s="22"/>
    </row>
    <row r="328" spans="2:22">
      <c r="B328" s="22"/>
      <c r="K328" s="22"/>
      <c r="M328" s="23"/>
      <c r="N328" s="23"/>
      <c r="O328" s="23"/>
      <c r="P328" s="23"/>
      <c r="Q328" s="23"/>
      <c r="R328" s="22"/>
      <c r="S328" s="22"/>
      <c r="T328" s="22"/>
      <c r="U328" s="22"/>
      <c r="V328" s="22"/>
    </row>
    <row r="329" spans="2:22">
      <c r="B329" s="22"/>
      <c r="K329" s="22"/>
      <c r="M329" s="23"/>
      <c r="N329" s="23"/>
      <c r="O329" s="23"/>
      <c r="P329" s="23"/>
      <c r="Q329" s="23"/>
      <c r="R329" s="22"/>
      <c r="S329" s="22"/>
      <c r="T329" s="22"/>
      <c r="U329" s="22"/>
      <c r="V329" s="22"/>
    </row>
    <row r="330" spans="2:22">
      <c r="B330" s="22"/>
      <c r="K330" s="22"/>
      <c r="M330" s="23"/>
      <c r="N330" s="23"/>
      <c r="O330" s="23"/>
      <c r="P330" s="23"/>
      <c r="Q330" s="23"/>
      <c r="R330" s="22"/>
      <c r="S330" s="22"/>
      <c r="T330" s="22"/>
      <c r="U330" s="22"/>
      <c r="V330" s="22"/>
    </row>
    <row r="331" spans="2:22">
      <c r="B331" s="22"/>
      <c r="K331" s="22"/>
      <c r="M331" s="23"/>
      <c r="N331" s="23"/>
      <c r="O331" s="23"/>
      <c r="P331" s="23"/>
      <c r="Q331" s="23"/>
      <c r="R331" s="22"/>
      <c r="S331" s="22"/>
      <c r="T331" s="22"/>
      <c r="U331" s="22"/>
      <c r="V331" s="22"/>
    </row>
    <row r="332" spans="2:22">
      <c r="B332" s="22"/>
      <c r="K332" s="22"/>
      <c r="M332" s="23"/>
      <c r="N332" s="23"/>
      <c r="O332" s="23"/>
      <c r="P332" s="23"/>
      <c r="Q332" s="23"/>
      <c r="R332" s="22"/>
      <c r="S332" s="22"/>
      <c r="T332" s="22"/>
      <c r="U332" s="22"/>
      <c r="V332" s="22"/>
    </row>
    <row r="333" spans="2:22">
      <c r="B333" s="22"/>
      <c r="K333" s="22"/>
      <c r="M333" s="23"/>
      <c r="N333" s="23"/>
      <c r="O333" s="23"/>
      <c r="P333" s="23"/>
      <c r="Q333" s="23"/>
      <c r="R333" s="22"/>
      <c r="S333" s="22"/>
      <c r="T333" s="22"/>
      <c r="U333" s="22"/>
      <c r="V333" s="22"/>
    </row>
    <row r="334" spans="2:22">
      <c r="B334" s="22"/>
      <c r="K334" s="22"/>
      <c r="M334" s="23"/>
      <c r="N334" s="23"/>
      <c r="O334" s="23"/>
      <c r="P334" s="23"/>
      <c r="Q334" s="23"/>
      <c r="R334" s="22"/>
      <c r="S334" s="22"/>
      <c r="T334" s="22"/>
      <c r="U334" s="22"/>
      <c r="V334" s="22"/>
    </row>
    <row r="335" spans="2:22">
      <c r="B335" s="22"/>
      <c r="K335" s="22"/>
      <c r="M335" s="23"/>
      <c r="N335" s="23"/>
      <c r="O335" s="23"/>
      <c r="P335" s="23"/>
      <c r="Q335" s="23"/>
      <c r="R335" s="22"/>
      <c r="S335" s="22"/>
      <c r="T335" s="22"/>
      <c r="U335" s="22"/>
      <c r="V335" s="22"/>
    </row>
    <row r="336" spans="2:22">
      <c r="B336" s="22"/>
      <c r="K336" s="22"/>
      <c r="M336" s="23"/>
      <c r="N336" s="23"/>
      <c r="O336" s="23"/>
      <c r="P336" s="23"/>
      <c r="Q336" s="23"/>
      <c r="R336" s="22"/>
      <c r="S336" s="22"/>
      <c r="T336" s="22"/>
      <c r="U336" s="22"/>
      <c r="V336" s="22"/>
    </row>
    <row r="337" spans="2:22">
      <c r="B337" s="22"/>
      <c r="K337" s="22"/>
      <c r="M337" s="23"/>
      <c r="N337" s="23"/>
      <c r="O337" s="23"/>
      <c r="P337" s="23"/>
      <c r="Q337" s="23"/>
      <c r="R337" s="22"/>
      <c r="S337" s="22"/>
      <c r="T337" s="22"/>
      <c r="U337" s="22"/>
      <c r="V337" s="22"/>
    </row>
    <row r="338" spans="2:22">
      <c r="B338" s="22"/>
      <c r="K338" s="22"/>
      <c r="M338" s="23"/>
      <c r="N338" s="23"/>
      <c r="O338" s="23"/>
      <c r="P338" s="23"/>
      <c r="Q338" s="23"/>
      <c r="R338" s="22"/>
      <c r="S338" s="22"/>
      <c r="T338" s="22"/>
      <c r="U338" s="22"/>
      <c r="V338" s="22"/>
    </row>
    <row r="339" spans="2:22">
      <c r="B339" s="22"/>
      <c r="K339" s="22"/>
      <c r="M339" s="23"/>
      <c r="N339" s="23"/>
      <c r="O339" s="23"/>
      <c r="P339" s="23"/>
      <c r="Q339" s="23"/>
      <c r="R339" s="22"/>
      <c r="S339" s="22"/>
      <c r="T339" s="22"/>
      <c r="U339" s="22"/>
      <c r="V339" s="22"/>
    </row>
    <row r="340" spans="2:22">
      <c r="B340" s="22"/>
      <c r="K340" s="22"/>
      <c r="M340" s="23"/>
      <c r="N340" s="23"/>
      <c r="O340" s="23"/>
      <c r="P340" s="23"/>
      <c r="Q340" s="23"/>
      <c r="R340" s="22"/>
      <c r="S340" s="22"/>
      <c r="T340" s="22"/>
      <c r="U340" s="22"/>
      <c r="V340" s="22"/>
    </row>
    <row r="341" spans="2:22">
      <c r="B341" s="22"/>
      <c r="K341" s="22"/>
      <c r="M341" s="23"/>
      <c r="N341" s="23"/>
      <c r="O341" s="23"/>
      <c r="P341" s="23"/>
      <c r="Q341" s="23"/>
      <c r="R341" s="22"/>
      <c r="S341" s="22"/>
      <c r="T341" s="22"/>
      <c r="U341" s="22"/>
      <c r="V341" s="22"/>
    </row>
    <row r="342" spans="2:22">
      <c r="B342" s="22"/>
      <c r="K342" s="22"/>
      <c r="M342" s="23"/>
      <c r="N342" s="23"/>
      <c r="O342" s="23"/>
      <c r="P342" s="23"/>
      <c r="Q342" s="23"/>
      <c r="R342" s="22"/>
      <c r="S342" s="22"/>
      <c r="T342" s="22"/>
      <c r="U342" s="22"/>
      <c r="V342" s="22"/>
    </row>
    <row r="343" spans="2:22">
      <c r="B343" s="22"/>
      <c r="K343" s="22"/>
      <c r="M343" s="23"/>
      <c r="N343" s="23"/>
      <c r="O343" s="23"/>
      <c r="P343" s="23"/>
      <c r="Q343" s="23"/>
      <c r="R343" s="22"/>
      <c r="S343" s="22"/>
      <c r="T343" s="22"/>
      <c r="U343" s="22"/>
      <c r="V343" s="22"/>
    </row>
    <row r="344" spans="2:22">
      <c r="B344" s="22"/>
      <c r="K344" s="22"/>
      <c r="M344" s="23"/>
      <c r="N344" s="23"/>
      <c r="O344" s="23"/>
      <c r="P344" s="23"/>
      <c r="Q344" s="23"/>
      <c r="R344" s="22"/>
      <c r="S344" s="22"/>
      <c r="T344" s="22"/>
      <c r="U344" s="22"/>
      <c r="V344" s="22"/>
    </row>
    <row r="345" spans="2:22">
      <c r="B345" s="22"/>
      <c r="K345" s="22"/>
      <c r="M345" s="23"/>
      <c r="N345" s="23"/>
      <c r="O345" s="23"/>
      <c r="P345" s="23"/>
      <c r="Q345" s="23"/>
      <c r="R345" s="22"/>
      <c r="S345" s="22"/>
      <c r="T345" s="22"/>
      <c r="U345" s="22"/>
      <c r="V345" s="22"/>
    </row>
    <row r="346" spans="2:22">
      <c r="B346" s="22"/>
      <c r="K346" s="22"/>
      <c r="M346" s="23"/>
      <c r="N346" s="23"/>
      <c r="O346" s="23"/>
      <c r="P346" s="23"/>
      <c r="Q346" s="23"/>
      <c r="R346" s="22"/>
      <c r="S346" s="22"/>
      <c r="T346" s="22"/>
      <c r="U346" s="22"/>
      <c r="V346" s="22"/>
    </row>
    <row r="347" spans="2:22">
      <c r="B347" s="22"/>
      <c r="K347" s="22"/>
      <c r="M347" s="23"/>
      <c r="N347" s="23"/>
      <c r="O347" s="23"/>
      <c r="P347" s="23"/>
      <c r="Q347" s="23"/>
      <c r="R347" s="22"/>
      <c r="S347" s="22"/>
      <c r="T347" s="22"/>
      <c r="U347" s="22"/>
      <c r="V347" s="22"/>
    </row>
    <row r="348" spans="2:22">
      <c r="B348" s="22"/>
      <c r="K348" s="22"/>
      <c r="M348" s="23"/>
      <c r="N348" s="23"/>
      <c r="O348" s="23"/>
      <c r="P348" s="23"/>
      <c r="Q348" s="23"/>
      <c r="R348" s="22"/>
      <c r="S348" s="22"/>
      <c r="T348" s="22"/>
      <c r="U348" s="22"/>
      <c r="V348" s="22"/>
    </row>
    <row r="349" spans="2:22">
      <c r="B349" s="22"/>
      <c r="K349" s="22"/>
      <c r="M349" s="23"/>
      <c r="N349" s="23"/>
      <c r="O349" s="23"/>
      <c r="P349" s="23"/>
      <c r="Q349" s="23"/>
      <c r="R349" s="22"/>
      <c r="S349" s="22"/>
      <c r="T349" s="22"/>
      <c r="U349" s="22"/>
      <c r="V349" s="22"/>
    </row>
    <row r="350" spans="2:22">
      <c r="B350" s="22"/>
      <c r="K350" s="22"/>
      <c r="M350" s="23"/>
      <c r="N350" s="23"/>
      <c r="O350" s="23"/>
      <c r="P350" s="23"/>
      <c r="Q350" s="23"/>
      <c r="R350" s="22"/>
      <c r="S350" s="22"/>
      <c r="T350" s="22"/>
      <c r="U350" s="22"/>
      <c r="V350" s="22"/>
    </row>
    <row r="351" spans="2:22">
      <c r="B351" s="22"/>
      <c r="K351" s="22"/>
      <c r="M351" s="23"/>
      <c r="N351" s="23"/>
      <c r="O351" s="23"/>
      <c r="P351" s="23"/>
      <c r="Q351" s="23"/>
      <c r="R351" s="22"/>
      <c r="S351" s="22"/>
      <c r="T351" s="22"/>
      <c r="U351" s="22"/>
      <c r="V351" s="22"/>
    </row>
    <row r="352" spans="2:22">
      <c r="B352" s="22"/>
      <c r="K352" s="22"/>
      <c r="M352" s="23"/>
      <c r="N352" s="23"/>
      <c r="O352" s="23"/>
      <c r="P352" s="23"/>
      <c r="Q352" s="23"/>
      <c r="R352" s="22"/>
      <c r="S352" s="22"/>
      <c r="T352" s="22"/>
      <c r="U352" s="22"/>
      <c r="V352" s="22"/>
    </row>
    <row r="353" spans="2:22">
      <c r="B353" s="22"/>
      <c r="K353" s="22"/>
      <c r="M353" s="23"/>
      <c r="N353" s="23"/>
      <c r="O353" s="23"/>
      <c r="P353" s="23"/>
      <c r="Q353" s="23"/>
      <c r="R353" s="22"/>
      <c r="S353" s="22"/>
      <c r="T353" s="22"/>
      <c r="U353" s="22"/>
      <c r="V353" s="22"/>
    </row>
    <row r="354" spans="2:22">
      <c r="B354" s="22"/>
      <c r="K354" s="22"/>
      <c r="M354" s="23"/>
      <c r="N354" s="23"/>
      <c r="O354" s="23"/>
      <c r="P354" s="23"/>
      <c r="Q354" s="23"/>
      <c r="R354" s="22"/>
      <c r="S354" s="22"/>
      <c r="T354" s="22"/>
      <c r="U354" s="22"/>
      <c r="V354" s="22"/>
    </row>
    <row r="355" spans="2:22">
      <c r="B355" s="22"/>
      <c r="K355" s="22"/>
      <c r="M355" s="23"/>
      <c r="N355" s="23"/>
      <c r="O355" s="23"/>
      <c r="P355" s="23"/>
      <c r="Q355" s="23"/>
      <c r="R355" s="22"/>
      <c r="S355" s="22"/>
      <c r="T355" s="22"/>
      <c r="U355" s="22"/>
      <c r="V355" s="22"/>
    </row>
    <row r="356" spans="2:22">
      <c r="B356" s="22"/>
      <c r="K356" s="22"/>
      <c r="M356" s="23"/>
      <c r="N356" s="23"/>
      <c r="O356" s="23"/>
      <c r="P356" s="23"/>
      <c r="Q356" s="23"/>
      <c r="R356" s="22"/>
      <c r="S356" s="22"/>
      <c r="T356" s="22"/>
      <c r="U356" s="22"/>
      <c r="V356" s="22"/>
    </row>
    <row r="357" spans="2:22">
      <c r="B357" s="22"/>
      <c r="K357" s="22"/>
      <c r="M357" s="23"/>
      <c r="N357" s="23"/>
      <c r="O357" s="23"/>
      <c r="P357" s="23"/>
      <c r="Q357" s="23"/>
      <c r="R357" s="22"/>
      <c r="S357" s="22"/>
      <c r="T357" s="22"/>
      <c r="U357" s="22"/>
      <c r="V357" s="22"/>
    </row>
    <row r="358" spans="2:22">
      <c r="B358" s="22"/>
      <c r="K358" s="22"/>
      <c r="M358" s="23"/>
      <c r="N358" s="23"/>
      <c r="O358" s="23"/>
      <c r="P358" s="23"/>
      <c r="Q358" s="23"/>
      <c r="R358" s="22"/>
      <c r="S358" s="22"/>
      <c r="T358" s="22"/>
      <c r="U358" s="22"/>
      <c r="V358" s="22"/>
    </row>
    <row r="359" spans="2:22">
      <c r="B359" s="22"/>
      <c r="K359" s="22"/>
      <c r="M359" s="23"/>
      <c r="N359" s="23"/>
      <c r="O359" s="23"/>
      <c r="P359" s="23"/>
      <c r="Q359" s="23"/>
      <c r="R359" s="22"/>
      <c r="S359" s="22"/>
      <c r="T359" s="22"/>
      <c r="U359" s="22"/>
      <c r="V359" s="22"/>
    </row>
    <row r="360" spans="2:22">
      <c r="B360" s="22"/>
      <c r="K360" s="22"/>
      <c r="M360" s="23"/>
      <c r="N360" s="23"/>
      <c r="O360" s="23"/>
      <c r="P360" s="23"/>
      <c r="Q360" s="23"/>
      <c r="R360" s="22"/>
      <c r="S360" s="22"/>
      <c r="T360" s="22"/>
      <c r="U360" s="22"/>
      <c r="V360" s="22"/>
    </row>
    <row r="361" spans="2:22">
      <c r="B361" s="22"/>
      <c r="K361" s="22"/>
      <c r="M361" s="23"/>
      <c r="N361" s="23"/>
      <c r="O361" s="23"/>
      <c r="P361" s="23"/>
      <c r="Q361" s="23"/>
      <c r="R361" s="22"/>
      <c r="S361" s="22"/>
      <c r="T361" s="22"/>
      <c r="U361" s="22"/>
      <c r="V361" s="22"/>
    </row>
    <row r="362" spans="2:22">
      <c r="B362" s="22"/>
      <c r="K362" s="22"/>
      <c r="M362" s="23"/>
      <c r="N362" s="23"/>
      <c r="O362" s="23"/>
      <c r="P362" s="23"/>
      <c r="Q362" s="23"/>
      <c r="R362" s="22"/>
      <c r="S362" s="22"/>
      <c r="T362" s="22"/>
      <c r="U362" s="22"/>
      <c r="V362" s="22"/>
    </row>
    <row r="363" spans="2:22">
      <c r="B363" s="22"/>
      <c r="K363" s="22"/>
      <c r="M363" s="23"/>
      <c r="N363" s="23"/>
      <c r="O363" s="23"/>
      <c r="P363" s="23"/>
      <c r="Q363" s="23"/>
      <c r="R363" s="22"/>
      <c r="S363" s="22"/>
      <c r="T363" s="22"/>
      <c r="U363" s="22"/>
      <c r="V363" s="22"/>
    </row>
    <row r="364" spans="2:22">
      <c r="B364" s="22"/>
      <c r="K364" s="22"/>
      <c r="M364" s="23"/>
      <c r="N364" s="23"/>
      <c r="O364" s="23"/>
      <c r="P364" s="23"/>
      <c r="Q364" s="23"/>
      <c r="R364" s="22"/>
      <c r="S364" s="22"/>
      <c r="T364" s="22"/>
      <c r="U364" s="22"/>
      <c r="V364" s="22"/>
    </row>
    <row r="365" spans="2:22">
      <c r="B365" s="22"/>
      <c r="K365" s="22"/>
      <c r="M365" s="23"/>
      <c r="N365" s="23"/>
      <c r="O365" s="23"/>
      <c r="P365" s="23"/>
      <c r="Q365" s="23"/>
      <c r="R365" s="22"/>
      <c r="S365" s="22"/>
      <c r="T365" s="22"/>
      <c r="U365" s="22"/>
      <c r="V365" s="22"/>
    </row>
    <row r="366" spans="2:22">
      <c r="B366" s="22"/>
      <c r="K366" s="22"/>
      <c r="M366" s="23"/>
      <c r="N366" s="23"/>
      <c r="O366" s="23"/>
      <c r="P366" s="23"/>
      <c r="Q366" s="23"/>
      <c r="R366" s="22"/>
      <c r="S366" s="22"/>
      <c r="T366" s="22"/>
      <c r="U366" s="22"/>
      <c r="V366" s="22"/>
    </row>
    <row r="367" spans="2:22">
      <c r="B367" s="22"/>
      <c r="K367" s="22"/>
      <c r="M367" s="23"/>
      <c r="N367" s="23"/>
      <c r="O367" s="23"/>
      <c r="P367" s="23"/>
      <c r="Q367" s="23"/>
      <c r="R367" s="22"/>
      <c r="S367" s="22"/>
      <c r="T367" s="22"/>
      <c r="U367" s="22"/>
      <c r="V367" s="22"/>
    </row>
    <row r="368" spans="2:22">
      <c r="B368" s="22"/>
      <c r="K368" s="22"/>
      <c r="M368" s="23"/>
      <c r="N368" s="23"/>
      <c r="O368" s="23"/>
      <c r="P368" s="23"/>
      <c r="Q368" s="23"/>
      <c r="R368" s="22"/>
      <c r="S368" s="22"/>
      <c r="T368" s="22"/>
      <c r="U368" s="22"/>
      <c r="V368" s="22"/>
    </row>
    <row r="369" spans="2:22">
      <c r="B369" s="22"/>
      <c r="K369" s="22"/>
      <c r="M369" s="23"/>
      <c r="N369" s="23"/>
      <c r="O369" s="23"/>
      <c r="P369" s="23"/>
      <c r="Q369" s="23"/>
      <c r="R369" s="22"/>
      <c r="S369" s="22"/>
      <c r="T369" s="22"/>
      <c r="U369" s="22"/>
      <c r="V369" s="22"/>
    </row>
    <row r="370" spans="2:22">
      <c r="B370" s="22"/>
      <c r="K370" s="22"/>
      <c r="M370" s="23"/>
      <c r="N370" s="23"/>
      <c r="O370" s="23"/>
      <c r="P370" s="23"/>
      <c r="Q370" s="23"/>
      <c r="R370" s="22"/>
      <c r="S370" s="22"/>
      <c r="T370" s="22"/>
      <c r="U370" s="22"/>
      <c r="V370" s="22"/>
    </row>
    <row r="371" spans="2:22">
      <c r="B371" s="22"/>
      <c r="K371" s="22"/>
      <c r="M371" s="23"/>
      <c r="N371" s="23"/>
      <c r="O371" s="23"/>
      <c r="P371" s="23"/>
      <c r="Q371" s="23"/>
      <c r="R371" s="22"/>
      <c r="S371" s="22"/>
      <c r="T371" s="22"/>
      <c r="U371" s="22"/>
      <c r="V371" s="22"/>
    </row>
    <row r="372" spans="2:22">
      <c r="B372" s="22"/>
      <c r="K372" s="22"/>
      <c r="M372" s="23"/>
      <c r="N372" s="23"/>
      <c r="O372" s="23"/>
      <c r="P372" s="23"/>
      <c r="Q372" s="23"/>
      <c r="R372" s="22"/>
      <c r="S372" s="22"/>
      <c r="T372" s="22"/>
      <c r="U372" s="22"/>
      <c r="V372" s="22"/>
    </row>
    <row r="373" spans="2:22">
      <c r="B373" s="22"/>
      <c r="K373" s="22"/>
      <c r="M373" s="23"/>
      <c r="N373" s="23"/>
      <c r="O373" s="23"/>
      <c r="P373" s="23"/>
      <c r="Q373" s="23"/>
      <c r="R373" s="22"/>
      <c r="S373" s="22"/>
      <c r="T373" s="22"/>
      <c r="U373" s="22"/>
      <c r="V373" s="22"/>
    </row>
    <row r="374" spans="2:22">
      <c r="B374" s="22"/>
      <c r="K374" s="22"/>
      <c r="M374" s="23"/>
      <c r="N374" s="23"/>
      <c r="O374" s="23"/>
      <c r="P374" s="23"/>
      <c r="Q374" s="23"/>
      <c r="R374" s="22"/>
      <c r="S374" s="22"/>
      <c r="T374" s="22"/>
      <c r="U374" s="22"/>
      <c r="V374" s="22"/>
    </row>
    <row r="375" spans="2:22">
      <c r="B375" s="22"/>
      <c r="K375" s="22"/>
      <c r="M375" s="23"/>
      <c r="N375" s="23"/>
      <c r="O375" s="23"/>
      <c r="P375" s="23"/>
      <c r="Q375" s="23"/>
      <c r="R375" s="22"/>
      <c r="S375" s="22"/>
      <c r="T375" s="22"/>
      <c r="U375" s="22"/>
      <c r="V375" s="22"/>
    </row>
    <row r="376" spans="2:22">
      <c r="B376" s="22"/>
      <c r="K376" s="22"/>
      <c r="M376" s="23"/>
      <c r="N376" s="23"/>
      <c r="O376" s="23"/>
      <c r="P376" s="23"/>
      <c r="Q376" s="23"/>
      <c r="R376" s="22"/>
      <c r="S376" s="22"/>
      <c r="T376" s="22"/>
      <c r="U376" s="22"/>
      <c r="V376" s="22"/>
    </row>
    <row r="377" spans="2:22">
      <c r="B377" s="22"/>
      <c r="K377" s="22"/>
      <c r="M377" s="23"/>
      <c r="N377" s="23"/>
      <c r="O377" s="23"/>
      <c r="P377" s="23"/>
      <c r="Q377" s="23"/>
      <c r="R377" s="22"/>
      <c r="S377" s="22"/>
      <c r="T377" s="22"/>
      <c r="U377" s="22"/>
      <c r="V377" s="22"/>
    </row>
    <row r="378" spans="2:22">
      <c r="B378" s="22"/>
      <c r="K378" s="22"/>
      <c r="M378" s="23"/>
      <c r="N378" s="23"/>
      <c r="O378" s="23"/>
      <c r="P378" s="23"/>
      <c r="Q378" s="23"/>
      <c r="R378" s="22"/>
      <c r="S378" s="22"/>
      <c r="T378" s="22"/>
      <c r="U378" s="22"/>
      <c r="V378" s="22"/>
    </row>
    <row r="379" spans="2:22">
      <c r="B379" s="22"/>
      <c r="K379" s="22"/>
      <c r="M379" s="23"/>
      <c r="N379" s="23"/>
      <c r="O379" s="23"/>
      <c r="P379" s="23"/>
      <c r="Q379" s="23"/>
      <c r="R379" s="22"/>
      <c r="S379" s="22"/>
      <c r="T379" s="22"/>
      <c r="U379" s="22"/>
      <c r="V379" s="22"/>
    </row>
    <row r="380" spans="2:22">
      <c r="B380" s="22"/>
      <c r="K380" s="22"/>
      <c r="M380" s="23"/>
      <c r="N380" s="23"/>
      <c r="O380" s="23"/>
      <c r="P380" s="23"/>
      <c r="Q380" s="23"/>
      <c r="R380" s="22"/>
      <c r="S380" s="22"/>
      <c r="T380" s="22"/>
      <c r="U380" s="22"/>
      <c r="V380" s="22"/>
    </row>
    <row r="381" spans="2:22">
      <c r="B381" s="22"/>
      <c r="K381" s="22"/>
      <c r="M381" s="23"/>
      <c r="N381" s="23"/>
      <c r="O381" s="23"/>
      <c r="P381" s="23"/>
      <c r="Q381" s="23"/>
      <c r="R381" s="22"/>
      <c r="S381" s="22"/>
      <c r="T381" s="22"/>
      <c r="U381" s="22"/>
      <c r="V381" s="22"/>
    </row>
    <row r="382" spans="2:22">
      <c r="B382" s="22"/>
      <c r="K382" s="22"/>
      <c r="M382" s="23"/>
      <c r="N382" s="23"/>
      <c r="O382" s="23"/>
      <c r="P382" s="23"/>
      <c r="Q382" s="23"/>
      <c r="R382" s="22"/>
      <c r="S382" s="22"/>
      <c r="T382" s="22"/>
      <c r="U382" s="22"/>
      <c r="V382" s="22"/>
    </row>
    <row r="383" spans="2:22">
      <c r="B383" s="22"/>
      <c r="K383" s="22"/>
      <c r="M383" s="23"/>
      <c r="N383" s="23"/>
      <c r="O383" s="23"/>
      <c r="P383" s="23"/>
      <c r="Q383" s="23"/>
      <c r="R383" s="22"/>
      <c r="S383" s="22"/>
      <c r="T383" s="22"/>
      <c r="U383" s="22"/>
      <c r="V383" s="22"/>
    </row>
    <row r="384" spans="2:22">
      <c r="B384" s="22"/>
      <c r="K384" s="22"/>
      <c r="M384" s="23"/>
      <c r="N384" s="23"/>
      <c r="O384" s="23"/>
      <c r="P384" s="23"/>
      <c r="Q384" s="23"/>
      <c r="R384" s="22"/>
      <c r="S384" s="22"/>
      <c r="T384" s="22"/>
      <c r="U384" s="22"/>
      <c r="V384" s="22"/>
    </row>
    <row r="385" spans="2:22">
      <c r="B385" s="22"/>
      <c r="K385" s="22"/>
      <c r="M385" s="23"/>
      <c r="N385" s="23"/>
      <c r="O385" s="23"/>
      <c r="P385" s="23"/>
      <c r="Q385" s="23"/>
      <c r="R385" s="22"/>
      <c r="S385" s="22"/>
      <c r="T385" s="22"/>
      <c r="U385" s="22"/>
      <c r="V385" s="22"/>
    </row>
    <row r="386" spans="2:22">
      <c r="B386" s="22"/>
      <c r="K386" s="22"/>
      <c r="M386" s="23"/>
      <c r="N386" s="23"/>
      <c r="O386" s="23"/>
      <c r="P386" s="23"/>
      <c r="Q386" s="23"/>
      <c r="R386" s="22"/>
      <c r="S386" s="22"/>
      <c r="T386" s="22"/>
      <c r="U386" s="22"/>
      <c r="V386" s="22"/>
    </row>
    <row r="387" spans="2:22">
      <c r="B387" s="22"/>
      <c r="K387" s="22"/>
      <c r="M387" s="23"/>
      <c r="N387" s="23"/>
      <c r="O387" s="23"/>
      <c r="P387" s="23"/>
      <c r="Q387" s="23"/>
      <c r="R387" s="22"/>
      <c r="S387" s="22"/>
      <c r="T387" s="22"/>
      <c r="U387" s="22"/>
      <c r="V387" s="22"/>
    </row>
    <row r="388" spans="2:22">
      <c r="B388" s="22"/>
      <c r="K388" s="22"/>
      <c r="M388" s="23"/>
      <c r="N388" s="23"/>
      <c r="O388" s="23"/>
      <c r="P388" s="23"/>
      <c r="Q388" s="23"/>
      <c r="R388" s="22"/>
      <c r="S388" s="22"/>
      <c r="T388" s="22"/>
      <c r="U388" s="22"/>
      <c r="V388" s="22"/>
    </row>
    <row r="389" spans="2:22">
      <c r="B389" s="22"/>
      <c r="K389" s="22"/>
      <c r="M389" s="23"/>
      <c r="N389" s="23"/>
      <c r="O389" s="23"/>
      <c r="P389" s="23"/>
      <c r="Q389" s="23"/>
      <c r="R389" s="22"/>
      <c r="S389" s="22"/>
      <c r="T389" s="22"/>
      <c r="U389" s="22"/>
      <c r="V389" s="22"/>
    </row>
    <row r="390" spans="2:22">
      <c r="B390" s="22"/>
      <c r="K390" s="22"/>
      <c r="M390" s="23"/>
      <c r="N390" s="23"/>
      <c r="O390" s="23"/>
      <c r="P390" s="23"/>
      <c r="Q390" s="23"/>
      <c r="R390" s="22"/>
      <c r="S390" s="22"/>
      <c r="T390" s="22"/>
      <c r="U390" s="22"/>
      <c r="V390" s="22"/>
    </row>
    <row r="391" spans="2:22">
      <c r="B391" s="22"/>
      <c r="K391" s="22"/>
      <c r="M391" s="23"/>
      <c r="N391" s="23"/>
      <c r="O391" s="23"/>
      <c r="P391" s="23"/>
      <c r="Q391" s="23"/>
      <c r="R391" s="22"/>
      <c r="S391" s="22"/>
      <c r="T391" s="22"/>
      <c r="U391" s="22"/>
      <c r="V391" s="22"/>
    </row>
    <row r="392" spans="2:22">
      <c r="B392" s="22"/>
      <c r="K392" s="22"/>
      <c r="M392" s="23"/>
      <c r="N392" s="23"/>
      <c r="O392" s="23"/>
      <c r="P392" s="23"/>
      <c r="Q392" s="23"/>
      <c r="R392" s="22"/>
      <c r="S392" s="22"/>
      <c r="T392" s="22"/>
      <c r="U392" s="22"/>
      <c r="V392" s="22"/>
    </row>
    <row r="393" spans="2:22">
      <c r="B393" s="22"/>
      <c r="K393" s="22"/>
      <c r="M393" s="23"/>
      <c r="N393" s="23"/>
      <c r="O393" s="23"/>
      <c r="P393" s="23"/>
      <c r="Q393" s="23"/>
      <c r="R393" s="22"/>
      <c r="S393" s="22"/>
      <c r="T393" s="22"/>
      <c r="U393" s="22"/>
      <c r="V393" s="22"/>
    </row>
    <row r="394" spans="2:22">
      <c r="B394" s="22"/>
      <c r="K394" s="22"/>
      <c r="M394" s="23"/>
      <c r="N394" s="23"/>
      <c r="O394" s="23"/>
      <c r="P394" s="23"/>
      <c r="Q394" s="23"/>
      <c r="R394" s="22"/>
      <c r="S394" s="22"/>
      <c r="T394" s="22"/>
      <c r="U394" s="22"/>
      <c r="V394" s="22"/>
    </row>
    <row r="395" spans="2:22">
      <c r="B395" s="22"/>
      <c r="K395" s="22"/>
      <c r="M395" s="23"/>
      <c r="N395" s="23"/>
      <c r="O395" s="23"/>
      <c r="P395" s="23"/>
      <c r="Q395" s="23"/>
      <c r="R395" s="22"/>
      <c r="S395" s="22"/>
      <c r="T395" s="22"/>
      <c r="U395" s="22"/>
      <c r="V395" s="22"/>
    </row>
    <row r="396" spans="2:22">
      <c r="B396" s="22"/>
      <c r="K396" s="22"/>
      <c r="M396" s="23"/>
      <c r="N396" s="23"/>
      <c r="O396" s="23"/>
      <c r="P396" s="23"/>
      <c r="Q396" s="23"/>
      <c r="R396" s="22"/>
      <c r="S396" s="22"/>
      <c r="T396" s="22"/>
      <c r="U396" s="22"/>
      <c r="V396" s="22"/>
    </row>
    <row r="397" spans="2:22">
      <c r="B397" s="22"/>
      <c r="K397" s="22"/>
      <c r="M397" s="23"/>
      <c r="N397" s="23"/>
      <c r="O397" s="23"/>
      <c r="P397" s="23"/>
      <c r="Q397" s="23"/>
      <c r="R397" s="22"/>
      <c r="S397" s="22"/>
      <c r="T397" s="22"/>
      <c r="U397" s="22"/>
      <c r="V397" s="22"/>
    </row>
    <row r="398" spans="2:22">
      <c r="B398" s="22"/>
      <c r="K398" s="22"/>
      <c r="M398" s="23"/>
      <c r="N398" s="23"/>
      <c r="O398" s="23"/>
      <c r="P398" s="23"/>
      <c r="Q398" s="23"/>
      <c r="R398" s="22"/>
      <c r="S398" s="22"/>
      <c r="T398" s="22"/>
      <c r="U398" s="22"/>
      <c r="V398" s="22"/>
    </row>
    <row r="399" spans="2:22">
      <c r="B399" s="22"/>
      <c r="K399" s="22"/>
      <c r="M399" s="23"/>
      <c r="N399" s="23"/>
      <c r="O399" s="23"/>
      <c r="P399" s="23"/>
      <c r="Q399" s="23"/>
      <c r="R399" s="22"/>
      <c r="S399" s="22"/>
      <c r="T399" s="22"/>
      <c r="U399" s="22"/>
      <c r="V399" s="22"/>
    </row>
    <row r="400" spans="2:22">
      <c r="B400" s="22"/>
      <c r="K400" s="22"/>
      <c r="M400" s="23"/>
      <c r="N400" s="23"/>
      <c r="O400" s="23"/>
      <c r="P400" s="23"/>
      <c r="Q400" s="23"/>
      <c r="R400" s="22"/>
      <c r="S400" s="22"/>
      <c r="T400" s="22"/>
      <c r="U400" s="22"/>
      <c r="V400" s="22"/>
    </row>
    <row r="401" spans="2:22">
      <c r="B401" s="22"/>
      <c r="K401" s="22"/>
      <c r="M401" s="23"/>
      <c r="N401" s="23"/>
      <c r="O401" s="23"/>
      <c r="P401" s="23"/>
      <c r="Q401" s="23"/>
      <c r="R401" s="22"/>
      <c r="S401" s="22"/>
      <c r="T401" s="22"/>
      <c r="U401" s="22"/>
      <c r="V401" s="22"/>
    </row>
    <row r="402" spans="2:22">
      <c r="B402" s="22"/>
      <c r="K402" s="22"/>
      <c r="M402" s="23"/>
      <c r="N402" s="23"/>
      <c r="O402" s="23"/>
      <c r="P402" s="23"/>
      <c r="Q402" s="23"/>
      <c r="R402" s="22"/>
      <c r="S402" s="22"/>
      <c r="T402" s="22"/>
      <c r="U402" s="22"/>
      <c r="V402" s="22"/>
    </row>
    <row r="403" spans="2:22">
      <c r="B403" s="22"/>
      <c r="K403" s="22"/>
      <c r="M403" s="23"/>
      <c r="N403" s="23"/>
      <c r="O403" s="23"/>
      <c r="P403" s="23"/>
      <c r="Q403" s="23"/>
      <c r="R403" s="22"/>
      <c r="S403" s="22"/>
      <c r="T403" s="22"/>
      <c r="U403" s="22"/>
      <c r="V403" s="22"/>
    </row>
    <row r="404" spans="2:22">
      <c r="B404" s="22"/>
      <c r="K404" s="22"/>
      <c r="M404" s="23"/>
      <c r="N404" s="23"/>
      <c r="O404" s="23"/>
      <c r="P404" s="23"/>
      <c r="Q404" s="23"/>
      <c r="R404" s="22"/>
      <c r="S404" s="22"/>
      <c r="T404" s="22"/>
      <c r="U404" s="22"/>
      <c r="V404" s="22"/>
    </row>
    <row r="405" spans="2:22">
      <c r="B405" s="22"/>
      <c r="K405" s="22"/>
      <c r="M405" s="23"/>
      <c r="N405" s="23"/>
      <c r="O405" s="23"/>
      <c r="P405" s="23"/>
      <c r="Q405" s="23"/>
      <c r="R405" s="22"/>
      <c r="S405" s="22"/>
      <c r="T405" s="22"/>
      <c r="U405" s="22"/>
      <c r="V405" s="22"/>
    </row>
    <row r="406" spans="2:22">
      <c r="B406" s="22"/>
      <c r="K406" s="22"/>
      <c r="M406" s="23"/>
      <c r="N406" s="23"/>
      <c r="O406" s="23"/>
      <c r="P406" s="23"/>
      <c r="Q406" s="23"/>
      <c r="R406" s="22"/>
      <c r="S406" s="22"/>
      <c r="T406" s="22"/>
      <c r="U406" s="22"/>
      <c r="V406" s="22"/>
    </row>
    <row r="407" spans="2:22">
      <c r="B407" s="22"/>
      <c r="K407" s="22"/>
      <c r="M407" s="23"/>
      <c r="N407" s="23"/>
      <c r="O407" s="23"/>
      <c r="P407" s="23"/>
      <c r="Q407" s="23"/>
      <c r="R407" s="22"/>
      <c r="S407" s="22"/>
      <c r="T407" s="22"/>
      <c r="U407" s="22"/>
      <c r="V407" s="22"/>
    </row>
    <row r="408" spans="2:22">
      <c r="B408" s="22"/>
      <c r="K408" s="22"/>
      <c r="M408" s="23"/>
      <c r="N408" s="23"/>
      <c r="O408" s="23"/>
      <c r="P408" s="23"/>
      <c r="Q408" s="23"/>
      <c r="R408" s="22"/>
      <c r="S408" s="22"/>
      <c r="T408" s="22"/>
      <c r="U408" s="22"/>
      <c r="V408" s="22"/>
    </row>
    <row r="409" spans="2:22">
      <c r="B409" s="22"/>
      <c r="K409" s="22"/>
      <c r="M409" s="23"/>
      <c r="N409" s="23"/>
      <c r="O409" s="23"/>
      <c r="P409" s="23"/>
      <c r="Q409" s="23"/>
      <c r="R409" s="22"/>
      <c r="S409" s="22"/>
      <c r="T409" s="22"/>
      <c r="U409" s="22"/>
      <c r="V409" s="22"/>
    </row>
    <row r="410" spans="2:22">
      <c r="B410" s="22"/>
      <c r="K410" s="22"/>
      <c r="M410" s="23"/>
      <c r="N410" s="23"/>
      <c r="O410" s="23"/>
      <c r="P410" s="23"/>
      <c r="Q410" s="23"/>
      <c r="R410" s="22"/>
      <c r="S410" s="22"/>
      <c r="T410" s="22"/>
      <c r="U410" s="22"/>
      <c r="V410" s="22"/>
    </row>
    <row r="411" spans="2:22">
      <c r="B411" s="22"/>
      <c r="K411" s="22"/>
      <c r="M411" s="23"/>
      <c r="N411" s="23"/>
      <c r="O411" s="23"/>
      <c r="P411" s="23"/>
      <c r="Q411" s="23"/>
      <c r="R411" s="22"/>
      <c r="S411" s="22"/>
      <c r="T411" s="22"/>
      <c r="U411" s="22"/>
      <c r="V411" s="22"/>
    </row>
    <row r="412" spans="2:22">
      <c r="B412" s="22"/>
      <c r="K412" s="22"/>
      <c r="M412" s="23"/>
      <c r="N412" s="23"/>
      <c r="O412" s="23"/>
      <c r="P412" s="23"/>
      <c r="Q412" s="23"/>
      <c r="R412" s="22"/>
      <c r="S412" s="22"/>
      <c r="T412" s="22"/>
      <c r="U412" s="22"/>
      <c r="V412" s="22"/>
    </row>
    <row r="413" spans="2:22">
      <c r="B413" s="22"/>
      <c r="K413" s="22"/>
      <c r="M413" s="23"/>
      <c r="N413" s="23"/>
      <c r="O413" s="23"/>
      <c r="P413" s="23"/>
      <c r="Q413" s="23"/>
      <c r="R413" s="22"/>
      <c r="S413" s="22"/>
      <c r="T413" s="22"/>
      <c r="U413" s="22"/>
      <c r="V413" s="22"/>
    </row>
    <row r="414" spans="2:22">
      <c r="B414" s="22"/>
      <c r="K414" s="22"/>
      <c r="M414" s="23"/>
      <c r="N414" s="23"/>
      <c r="O414" s="23"/>
      <c r="P414" s="23"/>
      <c r="Q414" s="23"/>
      <c r="R414" s="22"/>
      <c r="S414" s="22"/>
      <c r="T414" s="22"/>
      <c r="U414" s="22"/>
      <c r="V414" s="22"/>
    </row>
    <row r="415" spans="2:22">
      <c r="B415" s="22"/>
      <c r="K415" s="22"/>
      <c r="M415" s="23"/>
      <c r="N415" s="23"/>
      <c r="O415" s="23"/>
      <c r="P415" s="23"/>
      <c r="Q415" s="23"/>
      <c r="R415" s="22"/>
      <c r="S415" s="22"/>
      <c r="T415" s="22"/>
      <c r="U415" s="22"/>
      <c r="V415" s="22"/>
    </row>
    <row r="416" spans="2:22">
      <c r="B416" s="22"/>
      <c r="K416" s="22"/>
      <c r="M416" s="23"/>
      <c r="N416" s="23"/>
      <c r="O416" s="23"/>
      <c r="P416" s="23"/>
      <c r="Q416" s="23"/>
      <c r="R416" s="22"/>
      <c r="S416" s="22"/>
      <c r="T416" s="22"/>
      <c r="U416" s="22"/>
      <c r="V416" s="22"/>
    </row>
    <row r="417" spans="2:22">
      <c r="B417" s="22"/>
      <c r="K417" s="22"/>
      <c r="M417" s="23"/>
      <c r="N417" s="23"/>
      <c r="O417" s="23"/>
      <c r="P417" s="23"/>
      <c r="Q417" s="23"/>
      <c r="R417" s="22"/>
      <c r="S417" s="22"/>
      <c r="T417" s="22"/>
      <c r="U417" s="22"/>
      <c r="V417" s="22"/>
    </row>
    <row r="418" spans="2:22">
      <c r="B418" s="22"/>
      <c r="K418" s="22"/>
      <c r="M418" s="23"/>
      <c r="N418" s="23"/>
      <c r="O418" s="23"/>
      <c r="P418" s="23"/>
      <c r="Q418" s="23"/>
      <c r="R418" s="22"/>
      <c r="S418" s="22"/>
      <c r="T418" s="22"/>
      <c r="U418" s="22"/>
      <c r="V418" s="22"/>
    </row>
    <row r="419" spans="2:22">
      <c r="B419" s="22"/>
      <c r="K419" s="22"/>
      <c r="M419" s="23"/>
      <c r="N419" s="23"/>
      <c r="O419" s="23"/>
      <c r="P419" s="23"/>
      <c r="Q419" s="23"/>
      <c r="R419" s="22"/>
      <c r="S419" s="22"/>
      <c r="T419" s="22"/>
      <c r="U419" s="22"/>
      <c r="V419" s="22"/>
    </row>
    <row r="420" spans="2:22">
      <c r="B420" s="22"/>
      <c r="K420" s="22"/>
      <c r="M420" s="23"/>
      <c r="N420" s="23"/>
      <c r="O420" s="23"/>
      <c r="P420" s="23"/>
      <c r="Q420" s="23"/>
      <c r="R420" s="22"/>
      <c r="S420" s="22"/>
      <c r="T420" s="22"/>
      <c r="U420" s="22"/>
      <c r="V420" s="22"/>
    </row>
    <row r="421" spans="2:22">
      <c r="B421" s="22"/>
      <c r="K421" s="22"/>
      <c r="M421" s="23"/>
      <c r="N421" s="23"/>
      <c r="O421" s="23"/>
      <c r="P421" s="23"/>
      <c r="Q421" s="23"/>
      <c r="R421" s="22"/>
      <c r="S421" s="22"/>
      <c r="T421" s="22"/>
      <c r="U421" s="22"/>
      <c r="V421" s="22"/>
    </row>
    <row r="422" spans="2:22">
      <c r="B422" s="22"/>
      <c r="K422" s="22"/>
      <c r="M422" s="23"/>
      <c r="N422" s="23"/>
      <c r="O422" s="23"/>
      <c r="P422" s="23"/>
      <c r="Q422" s="23"/>
      <c r="R422" s="22"/>
      <c r="S422" s="22"/>
      <c r="T422" s="22"/>
      <c r="U422" s="22"/>
      <c r="V422" s="22"/>
    </row>
    <row r="423" spans="2:22">
      <c r="B423" s="22"/>
      <c r="K423" s="22"/>
      <c r="M423" s="23"/>
      <c r="N423" s="23"/>
      <c r="O423" s="23"/>
      <c r="P423" s="23"/>
      <c r="Q423" s="23"/>
      <c r="R423" s="22"/>
      <c r="S423" s="22"/>
      <c r="T423" s="22"/>
      <c r="U423" s="22"/>
      <c r="V423" s="22"/>
    </row>
    <row r="424" spans="2:22">
      <c r="B424" s="22"/>
      <c r="K424" s="22"/>
      <c r="M424" s="23"/>
      <c r="N424" s="23"/>
      <c r="O424" s="23"/>
      <c r="P424" s="23"/>
      <c r="Q424" s="23"/>
      <c r="R424" s="22"/>
      <c r="S424" s="22"/>
      <c r="T424" s="22"/>
      <c r="U424" s="22"/>
      <c r="V424" s="22"/>
    </row>
    <row r="425" spans="2:22">
      <c r="B425" s="22"/>
      <c r="K425" s="22"/>
      <c r="M425" s="23"/>
      <c r="N425" s="23"/>
      <c r="O425" s="23"/>
      <c r="P425" s="23"/>
      <c r="Q425" s="23"/>
      <c r="R425" s="22"/>
      <c r="S425" s="22"/>
      <c r="T425" s="22"/>
      <c r="U425" s="22"/>
      <c r="V425" s="22"/>
    </row>
    <row r="426" spans="2:22">
      <c r="B426" s="22"/>
      <c r="K426" s="22"/>
      <c r="M426" s="23"/>
      <c r="N426" s="23"/>
      <c r="O426" s="23"/>
      <c r="P426" s="23"/>
      <c r="Q426" s="23"/>
      <c r="R426" s="22"/>
      <c r="S426" s="22"/>
      <c r="T426" s="22"/>
      <c r="U426" s="22"/>
      <c r="V426" s="22"/>
    </row>
    <row r="427" spans="2:22">
      <c r="B427" s="22"/>
      <c r="K427" s="22"/>
      <c r="M427" s="23"/>
      <c r="N427" s="23"/>
      <c r="O427" s="23"/>
      <c r="P427" s="23"/>
      <c r="Q427" s="23"/>
      <c r="R427" s="22"/>
      <c r="S427" s="22"/>
      <c r="T427" s="22"/>
      <c r="U427" s="22"/>
      <c r="V427" s="22"/>
    </row>
    <row r="428" spans="2:22">
      <c r="B428" s="22"/>
      <c r="K428" s="22"/>
      <c r="M428" s="23"/>
      <c r="N428" s="23"/>
      <c r="O428" s="23"/>
      <c r="P428" s="23"/>
      <c r="Q428" s="23"/>
      <c r="R428" s="22"/>
      <c r="S428" s="22"/>
      <c r="T428" s="22"/>
      <c r="U428" s="22"/>
      <c r="V428" s="22"/>
    </row>
    <row r="429" spans="2:22">
      <c r="B429" s="22"/>
      <c r="K429" s="22"/>
      <c r="M429" s="23"/>
      <c r="N429" s="23"/>
      <c r="O429" s="23"/>
      <c r="P429" s="23"/>
      <c r="Q429" s="23"/>
      <c r="R429" s="22"/>
      <c r="S429" s="22"/>
      <c r="T429" s="22"/>
      <c r="U429" s="22"/>
      <c r="V429" s="22"/>
    </row>
    <row r="430" spans="2:22">
      <c r="B430" s="22"/>
      <c r="K430" s="22"/>
      <c r="M430" s="23"/>
      <c r="N430" s="23"/>
      <c r="O430" s="23"/>
      <c r="P430" s="23"/>
      <c r="Q430" s="23"/>
      <c r="R430" s="22"/>
      <c r="S430" s="22"/>
      <c r="T430" s="22"/>
      <c r="U430" s="22"/>
      <c r="V430" s="22"/>
    </row>
    <row r="431" spans="2:22">
      <c r="B431" s="22"/>
      <c r="K431" s="22"/>
      <c r="M431" s="23"/>
      <c r="N431" s="23"/>
      <c r="O431" s="23"/>
      <c r="P431" s="23"/>
      <c r="Q431" s="23"/>
      <c r="R431" s="22"/>
      <c r="S431" s="22"/>
      <c r="T431" s="22"/>
      <c r="U431" s="22"/>
      <c r="V431" s="22"/>
    </row>
    <row r="432" spans="2:22">
      <c r="B432" s="22"/>
      <c r="K432" s="22"/>
      <c r="M432" s="23"/>
      <c r="N432" s="23"/>
      <c r="O432" s="23"/>
      <c r="P432" s="23"/>
      <c r="Q432" s="23"/>
      <c r="R432" s="22"/>
      <c r="S432" s="22"/>
      <c r="T432" s="22"/>
      <c r="U432" s="22"/>
      <c r="V432" s="22"/>
    </row>
    <row r="433" spans="2:22">
      <c r="B433" s="22"/>
      <c r="K433" s="22"/>
      <c r="M433" s="23"/>
      <c r="N433" s="23"/>
      <c r="O433" s="23"/>
      <c r="P433" s="23"/>
      <c r="Q433" s="23"/>
      <c r="R433" s="22"/>
      <c r="S433" s="22"/>
      <c r="T433" s="22"/>
      <c r="U433" s="22"/>
      <c r="V433" s="22"/>
    </row>
    <row r="434" spans="2:22">
      <c r="B434" s="22"/>
      <c r="K434" s="22"/>
      <c r="M434" s="23"/>
      <c r="N434" s="23"/>
      <c r="O434" s="23"/>
      <c r="P434" s="23"/>
      <c r="Q434" s="23"/>
      <c r="R434" s="22"/>
      <c r="S434" s="22"/>
      <c r="T434" s="22"/>
      <c r="U434" s="22"/>
      <c r="V434" s="22"/>
    </row>
    <row r="435" spans="2:22">
      <c r="B435" s="22"/>
      <c r="K435" s="22"/>
      <c r="M435" s="23"/>
      <c r="N435" s="23"/>
      <c r="O435" s="23"/>
      <c r="P435" s="23"/>
      <c r="Q435" s="23"/>
      <c r="R435" s="22"/>
      <c r="S435" s="22"/>
      <c r="T435" s="22"/>
      <c r="U435" s="22"/>
      <c r="V435" s="22"/>
    </row>
    <row r="436" spans="2:22">
      <c r="B436" s="22"/>
      <c r="K436" s="22"/>
      <c r="M436" s="23"/>
      <c r="N436" s="23"/>
      <c r="O436" s="23"/>
      <c r="P436" s="23"/>
      <c r="Q436" s="23"/>
      <c r="R436" s="22"/>
      <c r="S436" s="22"/>
      <c r="T436" s="22"/>
      <c r="U436" s="22"/>
      <c r="V436" s="22"/>
    </row>
    <row r="437" spans="2:22">
      <c r="B437" s="22"/>
      <c r="K437" s="22"/>
      <c r="M437" s="23"/>
      <c r="N437" s="23"/>
      <c r="O437" s="23"/>
      <c r="P437" s="23"/>
      <c r="Q437" s="23"/>
      <c r="R437" s="22"/>
      <c r="S437" s="22"/>
      <c r="T437" s="22"/>
      <c r="U437" s="22"/>
      <c r="V437" s="22"/>
    </row>
    <row r="438" spans="2:22">
      <c r="B438" s="22"/>
      <c r="K438" s="22"/>
      <c r="M438" s="23"/>
      <c r="N438" s="23"/>
      <c r="O438" s="23"/>
      <c r="P438" s="23"/>
      <c r="Q438" s="23"/>
      <c r="R438" s="22"/>
      <c r="S438" s="22"/>
      <c r="T438" s="22"/>
      <c r="U438" s="22"/>
      <c r="V438" s="22"/>
    </row>
    <row r="439" spans="2:22">
      <c r="B439" s="22"/>
      <c r="K439" s="22"/>
      <c r="M439" s="23"/>
      <c r="N439" s="23"/>
      <c r="O439" s="23"/>
      <c r="P439" s="23"/>
      <c r="Q439" s="23"/>
      <c r="R439" s="22"/>
      <c r="S439" s="22"/>
      <c r="T439" s="22"/>
      <c r="U439" s="22"/>
      <c r="V439" s="22"/>
    </row>
    <row r="440" spans="2:22">
      <c r="B440" s="22"/>
      <c r="K440" s="22"/>
      <c r="M440" s="23"/>
      <c r="N440" s="23"/>
      <c r="O440" s="23"/>
      <c r="P440" s="23"/>
      <c r="Q440" s="23"/>
      <c r="R440" s="22"/>
      <c r="S440" s="22"/>
      <c r="T440" s="22"/>
      <c r="U440" s="22"/>
      <c r="V440" s="22"/>
    </row>
    <row r="441" spans="2:22">
      <c r="B441" s="22"/>
      <c r="K441" s="22"/>
      <c r="M441" s="23"/>
      <c r="N441" s="23"/>
      <c r="O441" s="23"/>
      <c r="P441" s="23"/>
      <c r="Q441" s="23"/>
      <c r="R441" s="22"/>
      <c r="S441" s="22"/>
      <c r="T441" s="22"/>
      <c r="U441" s="22"/>
      <c r="V441" s="22"/>
    </row>
    <row r="442" spans="2:22">
      <c r="B442" s="22"/>
      <c r="K442" s="22"/>
      <c r="M442" s="23"/>
      <c r="N442" s="23"/>
      <c r="O442" s="23"/>
      <c r="P442" s="23"/>
      <c r="Q442" s="23"/>
      <c r="R442" s="22"/>
      <c r="S442" s="22"/>
      <c r="T442" s="22"/>
      <c r="U442" s="22"/>
      <c r="V442" s="22"/>
    </row>
    <row r="443" spans="2:22">
      <c r="B443" s="22"/>
      <c r="K443" s="22"/>
      <c r="M443" s="23"/>
      <c r="N443" s="23"/>
      <c r="O443" s="23"/>
      <c r="P443" s="23"/>
      <c r="Q443" s="23"/>
      <c r="R443" s="22"/>
      <c r="S443" s="22"/>
      <c r="T443" s="22"/>
      <c r="U443" s="22"/>
      <c r="V443" s="22"/>
    </row>
    <row r="444" spans="2:22">
      <c r="B444" s="22"/>
      <c r="K444" s="22"/>
      <c r="M444" s="23"/>
      <c r="N444" s="23"/>
      <c r="O444" s="23"/>
      <c r="P444" s="23"/>
      <c r="Q444" s="23"/>
      <c r="R444" s="22"/>
      <c r="S444" s="22"/>
      <c r="T444" s="22"/>
      <c r="U444" s="22"/>
      <c r="V444" s="22"/>
    </row>
    <row r="445" spans="2:22">
      <c r="B445" s="22"/>
      <c r="K445" s="22"/>
      <c r="M445" s="23"/>
      <c r="N445" s="23"/>
      <c r="O445" s="23"/>
      <c r="P445" s="23"/>
      <c r="Q445" s="23"/>
      <c r="R445" s="22"/>
      <c r="S445" s="22"/>
      <c r="T445" s="22"/>
      <c r="U445" s="22"/>
      <c r="V445" s="22"/>
    </row>
    <row r="1048270" spans="2:22">
      <c r="B1048270" s="22"/>
      <c r="H1048270" s="3"/>
      <c r="K1048270" s="22"/>
      <c r="R1048270" s="22"/>
      <c r="S1048270" s="22"/>
      <c r="T1048270" s="22"/>
      <c r="U1048270" s="22"/>
      <c r="V1048270" s="22"/>
    </row>
  </sheetData>
  <autoFilter ref="A3:V197">
    <filterColumn colId="17" showButton="0"/>
    <filterColumn colId="18" showButton="0"/>
  </autoFilter>
  <sortState ref="A4:AE199">
    <sortCondition ref="C4:C199"/>
  </sortState>
  <mergeCells count="2">
    <mergeCell ref="A2:B2"/>
    <mergeCell ref="R3:T3"/>
  </mergeCells>
  <conditionalFormatting sqref="B1">
    <cfRule type="duplicateValues" dxfId="15" priority="2"/>
  </conditionalFormatting>
  <conditionalFormatting sqref="A2">
    <cfRule type="duplicateValues" dxfId="14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E8" sqref="E8"/>
    </sheetView>
  </sheetViews>
  <sheetFormatPr defaultColWidth="9.21875" defaultRowHeight="13.2"/>
  <cols>
    <col min="1" max="1" width="10" style="7" bestFit="1" customWidth="1"/>
    <col min="2" max="2" width="39.5546875" style="7" bestFit="1" customWidth="1"/>
    <col min="3" max="3" width="20" style="7" bestFit="1" customWidth="1"/>
    <col min="4" max="4" width="9.21875" style="7"/>
    <col min="5" max="5" width="27.5546875" style="7" customWidth="1"/>
    <col min="6" max="16384" width="9.21875" style="7"/>
  </cols>
  <sheetData>
    <row r="1" spans="1:3" ht="17.399999999999999">
      <c r="A1" s="49" t="s">
        <v>454</v>
      </c>
      <c r="B1" s="49"/>
      <c r="C1" s="49"/>
    </row>
    <row r="3" spans="1:3" s="9" customFormat="1" ht="17.399999999999999">
      <c r="A3" s="8" t="s">
        <v>380</v>
      </c>
      <c r="B3" s="8" t="s">
        <v>379</v>
      </c>
      <c r="C3" s="8" t="s">
        <v>455</v>
      </c>
    </row>
    <row r="4" spans="1:3" s="9" customFormat="1" ht="17.399999999999999">
      <c r="A4" s="10" t="s">
        <v>456</v>
      </c>
      <c r="B4" s="11" t="s">
        <v>457</v>
      </c>
      <c r="C4" s="9" t="s">
        <v>0</v>
      </c>
    </row>
    <row r="5" spans="1:3" s="9" customFormat="1" ht="17.399999999999999">
      <c r="A5" s="10" t="s">
        <v>375</v>
      </c>
      <c r="B5" s="11" t="s">
        <v>458</v>
      </c>
      <c r="C5" s="9" t="s">
        <v>0</v>
      </c>
    </row>
    <row r="6" spans="1:3" s="9" customFormat="1" ht="17.399999999999999">
      <c r="A6" s="10" t="s">
        <v>378</v>
      </c>
      <c r="B6" s="11" t="s">
        <v>478</v>
      </c>
      <c r="C6" s="9" t="s">
        <v>0</v>
      </c>
    </row>
    <row r="7" spans="1:3" s="9" customFormat="1" ht="17.399999999999999">
      <c r="A7" s="10" t="s">
        <v>371</v>
      </c>
      <c r="B7" s="11" t="s">
        <v>477</v>
      </c>
      <c r="C7" s="9" t="s">
        <v>0</v>
      </c>
    </row>
    <row r="8" spans="1:3" s="9" customFormat="1" ht="17.399999999999999">
      <c r="A8" s="10" t="s">
        <v>377</v>
      </c>
      <c r="B8" s="11" t="s">
        <v>476</v>
      </c>
      <c r="C8" s="9" t="s">
        <v>0</v>
      </c>
    </row>
    <row r="9" spans="1:3" s="9" customFormat="1" ht="17.399999999999999">
      <c r="A9" s="10" t="s">
        <v>368</v>
      </c>
      <c r="B9" s="11" t="s">
        <v>475</v>
      </c>
      <c r="C9" s="9" t="s">
        <v>0</v>
      </c>
    </row>
    <row r="10" spans="1:3" s="9" customFormat="1" ht="17.399999999999999">
      <c r="A10" s="10" t="s">
        <v>369</v>
      </c>
      <c r="B10" s="11" t="s">
        <v>474</v>
      </c>
      <c r="C10" s="9" t="s">
        <v>0</v>
      </c>
    </row>
    <row r="11" spans="1:3" s="9" customFormat="1" ht="17.399999999999999">
      <c r="A11" s="10" t="s">
        <v>370</v>
      </c>
      <c r="B11" s="11" t="s">
        <v>473</v>
      </c>
      <c r="C11" s="9" t="s">
        <v>0</v>
      </c>
    </row>
    <row r="12" spans="1:3" s="9" customFormat="1" ht="17.399999999999999">
      <c r="A12" s="12" t="s">
        <v>367</v>
      </c>
      <c r="B12" s="13" t="s">
        <v>459</v>
      </c>
      <c r="C12" s="50" t="s">
        <v>460</v>
      </c>
    </row>
    <row r="13" spans="1:3" s="9" customFormat="1" ht="17.399999999999999">
      <c r="A13" s="12" t="s">
        <v>373</v>
      </c>
      <c r="B13" s="13" t="s">
        <v>461</v>
      </c>
      <c r="C13" s="50"/>
    </row>
    <row r="14" spans="1:3" s="9" customFormat="1" ht="17.399999999999999">
      <c r="A14" s="14" t="s">
        <v>374</v>
      </c>
      <c r="B14" s="15" t="s">
        <v>462</v>
      </c>
      <c r="C14" s="51" t="s">
        <v>361</v>
      </c>
    </row>
    <row r="15" spans="1:3" s="9" customFormat="1" ht="17.399999999999999">
      <c r="A15" s="14" t="s">
        <v>372</v>
      </c>
      <c r="B15" s="15" t="s">
        <v>463</v>
      </c>
      <c r="C15" s="51"/>
    </row>
    <row r="16" spans="1:3" s="9" customFormat="1" ht="17.399999999999999">
      <c r="A16" s="16" t="s">
        <v>387</v>
      </c>
      <c r="B16" s="17" t="s">
        <v>464</v>
      </c>
      <c r="C16" s="52" t="s">
        <v>362</v>
      </c>
    </row>
    <row r="17" spans="1:3" s="9" customFormat="1" ht="17.399999999999999">
      <c r="A17" s="16" t="s">
        <v>465</v>
      </c>
      <c r="B17" s="17" t="s">
        <v>466</v>
      </c>
      <c r="C17" s="52"/>
    </row>
    <row r="18" spans="1:3" s="9" customFormat="1" ht="17.399999999999999">
      <c r="A18" s="16" t="s">
        <v>467</v>
      </c>
      <c r="B18" s="17" t="s">
        <v>468</v>
      </c>
      <c r="C18" s="52"/>
    </row>
    <row r="19" spans="1:3" s="9" customFormat="1" ht="17.399999999999999">
      <c r="A19" s="18" t="s">
        <v>469</v>
      </c>
      <c r="B19" s="19" t="s">
        <v>470</v>
      </c>
      <c r="C19" s="53" t="s">
        <v>360</v>
      </c>
    </row>
    <row r="20" spans="1:3" s="9" customFormat="1" ht="17.399999999999999">
      <c r="A20" s="18" t="s">
        <v>471</v>
      </c>
      <c r="B20" s="19" t="s">
        <v>472</v>
      </c>
      <c r="C20" s="53"/>
    </row>
  </sheetData>
  <mergeCells count="5">
    <mergeCell ref="A1:C1"/>
    <mergeCell ref="C12:C13"/>
    <mergeCell ref="C14:C15"/>
    <mergeCell ref="C16:C18"/>
    <mergeCell ref="C19:C20"/>
  </mergeCells>
  <conditionalFormatting sqref="A12:B12">
    <cfRule type="cellIs" dxfId="13" priority="14" stopIfTrue="1" operator="equal">
      <formula>$AG$13</formula>
    </cfRule>
  </conditionalFormatting>
  <conditionalFormatting sqref="A13:B13">
    <cfRule type="cellIs" dxfId="12" priority="13" stopIfTrue="1" operator="equal">
      <formula>$AG$13</formula>
    </cfRule>
  </conditionalFormatting>
  <conditionalFormatting sqref="A14:B14">
    <cfRule type="cellIs" dxfId="11" priority="12" stopIfTrue="1" operator="equal">
      <formula>$AG$13</formula>
    </cfRule>
  </conditionalFormatting>
  <conditionalFormatting sqref="A15:B15">
    <cfRule type="cellIs" dxfId="10" priority="11" stopIfTrue="1" operator="equal">
      <formula>$AG$13</formula>
    </cfRule>
  </conditionalFormatting>
  <conditionalFormatting sqref="A16:B16">
    <cfRule type="cellIs" dxfId="9" priority="10" stopIfTrue="1" operator="equal">
      <formula>$AG$13</formula>
    </cfRule>
  </conditionalFormatting>
  <conditionalFormatting sqref="A17:B17">
    <cfRule type="cellIs" dxfId="8" priority="9" stopIfTrue="1" operator="equal">
      <formula>$AG$13</formula>
    </cfRule>
  </conditionalFormatting>
  <conditionalFormatting sqref="A18:B18">
    <cfRule type="cellIs" dxfId="7" priority="8" stopIfTrue="1" operator="equal">
      <formula>$AG$13</formula>
    </cfRule>
  </conditionalFormatting>
  <conditionalFormatting sqref="C16">
    <cfRule type="cellIs" dxfId="6" priority="3" stopIfTrue="1" operator="equal">
      <formula>$AG$13</formula>
    </cfRule>
  </conditionalFormatting>
  <conditionalFormatting sqref="A20:B20">
    <cfRule type="cellIs" dxfId="5" priority="7" stopIfTrue="1" operator="equal">
      <formula>$AG$13</formula>
    </cfRule>
  </conditionalFormatting>
  <conditionalFormatting sqref="A4:B11">
    <cfRule type="cellIs" dxfId="4" priority="6" stopIfTrue="1" operator="equal">
      <formula>$AG$13</formula>
    </cfRule>
  </conditionalFormatting>
  <conditionalFormatting sqref="C12">
    <cfRule type="cellIs" dxfId="3" priority="1" stopIfTrue="1" operator="equal">
      <formula>$AG$13</formula>
    </cfRule>
  </conditionalFormatting>
  <conditionalFormatting sqref="C14">
    <cfRule type="cellIs" dxfId="2" priority="2" stopIfTrue="1" operator="equal">
      <formula>$AG$13</formula>
    </cfRule>
  </conditionalFormatting>
  <conditionalFormatting sqref="A19:B19">
    <cfRule type="cellIs" dxfId="1" priority="5" stopIfTrue="1" operator="equal">
      <formula>$AG$13</formula>
    </cfRule>
  </conditionalFormatting>
  <conditionalFormatting sqref="C19">
    <cfRule type="cellIs" dxfId="0" priority="4" stopIfTrue="1" operator="equal">
      <formula>$AG$13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lenovo2</dc:creator>
  <cp:lastModifiedBy>Mamat Rahmat</cp:lastModifiedBy>
  <cp:lastPrinted>2024-06-07T07:57:24Z</cp:lastPrinted>
  <dcterms:created xsi:type="dcterms:W3CDTF">2018-08-27T01:48:29Z</dcterms:created>
  <dcterms:modified xsi:type="dcterms:W3CDTF">2026-07-29T08:56:58Z</dcterms:modified>
</cp:coreProperties>
</file>